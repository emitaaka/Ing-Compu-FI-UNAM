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UqNrJD7OTEqUNVC4uYXEwK7XDNsWEJt2c0hcU7VzgZ4="/>
    </ext>
  </extLst>
</workbook>
</file>

<file path=xl/sharedStrings.xml><?xml version="1.0" encoding="utf-8"?>
<sst xmlns="http://schemas.openxmlformats.org/spreadsheetml/2006/main" count="112" uniqueCount="32">
  <si>
    <t>Tiempo de permanencia en la Facultad (anotar el número en minutos)</t>
  </si>
  <si>
    <t>min</t>
  </si>
  <si>
    <t>n</t>
  </si>
  <si>
    <t>max</t>
  </si>
  <si>
    <t>clases</t>
  </si>
  <si>
    <t>rango</t>
  </si>
  <si>
    <t>amplitud</t>
  </si>
  <si>
    <t>Clase</t>
  </si>
  <si>
    <t xml:space="preserve"> inf</t>
  </si>
  <si>
    <t>sup</t>
  </si>
  <si>
    <t>Xi</t>
  </si>
  <si>
    <t>fi</t>
  </si>
  <si>
    <t>fi*</t>
  </si>
  <si>
    <t>Fi</t>
  </si>
  <si>
    <t>Fi*</t>
  </si>
  <si>
    <t>Xi*fi*</t>
  </si>
  <si>
    <t>fi * (Xi - media)^2</t>
  </si>
  <si>
    <t xml:space="preserve"> </t>
  </si>
  <si>
    <t>DATOS NO AGRUPADOS</t>
  </si>
  <si>
    <t>DATOS AGRUPADOS</t>
  </si>
  <si>
    <t>Media</t>
  </si>
  <si>
    <t>Mediana</t>
  </si>
  <si>
    <t>Moda</t>
  </si>
  <si>
    <t>Varianza</t>
  </si>
  <si>
    <t>Desviación estándar</t>
  </si>
  <si>
    <t>Primer cuartil</t>
  </si>
  <si>
    <t>Tercer cuartil</t>
  </si>
  <si>
    <t>Séptimo decil</t>
  </si>
  <si>
    <t>Percentil 82</t>
  </si>
  <si>
    <t>Promedio actual</t>
  </si>
  <si>
    <r>
      <rPr>
        <rFont val="Arial"/>
        <b/>
        <color theme="1"/>
        <sz val="10.0"/>
      </rPr>
      <t>Número de MINUTOS dedicados al estudio cada día (</t>
    </r>
    <r>
      <rPr>
        <rFont val="Arial"/>
        <b/>
        <color theme="1"/>
        <sz val="10.0"/>
      </rPr>
      <t>solo anotar un número entero)</t>
    </r>
  </si>
  <si>
    <t>fi * (Xi - Media)^2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</si>
</sst>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45B0E1"/>
        <bgColor rgb="FF45B0E1"/>
      </patternFill>
    </fill>
    <fill>
      <patternFill patternType="solid">
        <fgColor rgb="FFF2F2F2"/>
        <bgColor rgb="FFF2F2F2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3" fontId="2" numFmtId="0" xfId="0" applyAlignment="1" applyBorder="1" applyFill="1" applyFont="1">
      <alignment horizontal="right" readingOrder="1" vertical="center"/>
    </xf>
    <xf borderId="0" fillId="0" fontId="3" numFmtId="0" xfId="0" applyFont="1"/>
    <xf borderId="1" fillId="4" fontId="2" numFmtId="0" xfId="0" applyAlignment="1" applyBorder="1" applyFill="1" applyFont="1">
      <alignment horizontal="right" readingOrder="1" vertical="center"/>
    </xf>
    <xf borderId="2" fillId="5" fontId="4" numFmtId="0" xfId="0" applyBorder="1" applyFill="1" applyFont="1"/>
    <xf borderId="0" fillId="0" fontId="5" numFmtId="0" xfId="0" applyAlignment="1" applyFont="1">
      <alignment readingOrder="0"/>
    </xf>
    <xf borderId="1" fillId="4" fontId="2" numFmtId="3" xfId="0" applyAlignment="1" applyBorder="1" applyFont="1" applyNumberFormat="1">
      <alignment horizontal="right" readingOrder="1" vertical="center"/>
    </xf>
    <xf borderId="1" fillId="2" fontId="2" numFmtId="0" xfId="0" applyAlignment="1" applyBorder="1" applyFont="1">
      <alignment horizontal="left" readingOrder="1" shrinkToFit="0" vertical="center" wrapText="1"/>
    </xf>
    <xf borderId="2" fillId="6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Hoja1!$E$7:$E$19</c:f>
            </c:strRef>
          </c:cat>
          <c:val>
            <c:numRef>
              <c:f>Hoja1!$H$7:$H$20</c:f>
              <c:numCache/>
            </c:numRef>
          </c:val>
        </c:ser>
        <c:axId val="357417985"/>
        <c:axId val="155622298"/>
      </c:barChart>
      <c:catAx>
        <c:axId val="357417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622298"/>
      </c:catAx>
      <c:valAx>
        <c:axId val="155622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74179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Polígono de frecuencias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fi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Hoja1!$E$7:$E$19</c:f>
            </c:strRef>
          </c:cat>
          <c:val>
            <c:numRef>
              <c:f>Hoja1!$H$7:$H$20</c:f>
              <c:numCache/>
            </c:numRef>
          </c:val>
          <c:smooth val="0"/>
        </c:ser>
        <c:axId val="1582864168"/>
        <c:axId val="410362831"/>
      </c:lineChart>
      <c:catAx>
        <c:axId val="1582864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0362831"/>
      </c:catAx>
      <c:valAx>
        <c:axId val="410362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286416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Hoja2!$E$7:$E$19</c:f>
            </c:strRef>
          </c:cat>
          <c:val>
            <c:numRef>
              <c:f>Hoja2!$H$7:$H$19</c:f>
              <c:numCache/>
            </c:numRef>
          </c:val>
        </c:ser>
        <c:axId val="1340901254"/>
        <c:axId val="2127162760"/>
      </c:barChart>
      <c:catAx>
        <c:axId val="1340901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7162760"/>
      </c:catAx>
      <c:valAx>
        <c:axId val="2127162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090125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Polígono de frecuencias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fi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Hoja2!$E$7:$E$19</c:f>
            </c:strRef>
          </c:cat>
          <c:val>
            <c:numRef>
              <c:f>Hoja2!$H$7:$H$19</c:f>
              <c:numCache/>
            </c:numRef>
          </c:val>
          <c:smooth val="0"/>
        </c:ser>
        <c:axId val="1894072714"/>
        <c:axId val="138186484"/>
      </c:lineChart>
      <c:catAx>
        <c:axId val="1894072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186484"/>
      </c:catAx>
      <c:valAx>
        <c:axId val="138186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407271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</c:v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cat>
            <c:strRef>
              <c:f>Hoja3!$E$7:$E$19</c:f>
            </c:strRef>
          </c:cat>
          <c:val>
            <c:numRef>
              <c:f>Hoja3!$H$7:$H$20</c:f>
              <c:numCache/>
            </c:numRef>
          </c:val>
        </c:ser>
        <c:axId val="1547744259"/>
        <c:axId val="1991221728"/>
      </c:barChart>
      <c:catAx>
        <c:axId val="1547744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1221728"/>
      </c:catAx>
      <c:valAx>
        <c:axId val="1991221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774425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Polígono de frecuencias</a:t>
            </a:r>
          </a:p>
        </c:rich>
      </c:tx>
      <c:overlay val="0"/>
    </c:title>
    <c:plotArea>
      <c:layout>
        <c:manualLayout>
          <c:xMode val="edge"/>
          <c:yMode val="edge"/>
          <c:x val="0.06646981627296587"/>
          <c:y val="0.17171296296296298"/>
          <c:w val="0.9029746281714786"/>
          <c:h val="0.6538542578011082"/>
        </c:manualLayout>
      </c:layout>
      <c:lineChart>
        <c:varyColors val="0"/>
        <c:ser>
          <c:idx val="0"/>
          <c:order val="0"/>
          <c:tx>
            <c:v>fi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Hoja3!$E$7:$E$19</c:f>
            </c:strRef>
          </c:cat>
          <c:val>
            <c:numRef>
              <c:f>Hoja3!$H$7:$H$20</c:f>
              <c:numCache/>
            </c:numRef>
          </c:val>
          <c:smooth val="0"/>
        </c:ser>
        <c:axId val="925075564"/>
        <c:axId val="1209994819"/>
      </c:lineChart>
      <c:catAx>
        <c:axId val="925075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9994819"/>
      </c:catAx>
      <c:valAx>
        <c:axId val="1209994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50755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781050</xdr:colOff>
      <xdr:row>2</xdr:row>
      <xdr:rowOff>47625</xdr:rowOff>
    </xdr:from>
    <xdr:ext cx="4676775" cy="2609850"/>
    <xdr:graphicFrame>
      <xdr:nvGraphicFramePr>
        <xdr:cNvPr id="73825846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781050</xdr:colOff>
      <xdr:row>17</xdr:row>
      <xdr:rowOff>38100</xdr:rowOff>
    </xdr:from>
    <xdr:ext cx="4676775" cy="2609850"/>
    <xdr:graphicFrame>
      <xdr:nvGraphicFramePr>
        <xdr:cNvPr id="33488004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20</xdr:row>
      <xdr:rowOff>0</xdr:rowOff>
    </xdr:from>
    <xdr:ext cx="4676775" cy="2609850"/>
    <xdr:graphicFrame>
      <xdr:nvGraphicFramePr>
        <xdr:cNvPr id="15453566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34</xdr:row>
      <xdr:rowOff>161925</xdr:rowOff>
    </xdr:from>
    <xdr:ext cx="4657725" cy="2600325"/>
    <xdr:graphicFrame>
      <xdr:nvGraphicFramePr>
        <xdr:cNvPr id="175498725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21</xdr:row>
      <xdr:rowOff>133350</xdr:rowOff>
    </xdr:from>
    <xdr:ext cx="4657725" cy="2714625"/>
    <xdr:graphicFrame>
      <xdr:nvGraphicFramePr>
        <xdr:cNvPr id="123228768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742950</xdr:colOff>
      <xdr:row>38</xdr:row>
      <xdr:rowOff>38100</xdr:rowOff>
    </xdr:from>
    <xdr:ext cx="4676775" cy="2714625"/>
    <xdr:graphicFrame>
      <xdr:nvGraphicFramePr>
        <xdr:cNvPr id="208867512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25"/>
    <col customWidth="1" min="2" max="7" width="10.63"/>
    <col customWidth="1" min="8" max="8" width="6.13"/>
    <col customWidth="1" min="9" max="9" width="5.75"/>
    <col customWidth="1" min="10" max="10" width="5.5"/>
    <col customWidth="1" min="11" max="26" width="10.63"/>
  </cols>
  <sheetData>
    <row r="1" ht="14.25" customHeight="1">
      <c r="A1" s="1" t="s">
        <v>0</v>
      </c>
    </row>
    <row r="2" ht="14.25" customHeight="1">
      <c r="A2" s="2">
        <v>300.0</v>
      </c>
      <c r="D2" s="3" t="s">
        <v>1</v>
      </c>
      <c r="E2" s="3">
        <f>+MIN(A2:A171)</f>
        <v>12</v>
      </c>
      <c r="F2" s="3" t="s">
        <v>2</v>
      </c>
      <c r="G2" s="3">
        <v>170.0</v>
      </c>
    </row>
    <row r="3" ht="14.25" customHeight="1">
      <c r="A3" s="4">
        <v>240.0</v>
      </c>
      <c r="D3" s="3" t="s">
        <v>3</v>
      </c>
      <c r="E3" s="3">
        <f>MAX(A2:A171)</f>
        <v>4800</v>
      </c>
      <c r="F3" s="3" t="s">
        <v>4</v>
      </c>
      <c r="G3" s="3">
        <f>ROUND(SQRT(G2),0)</f>
        <v>13</v>
      </c>
    </row>
    <row r="4" ht="14.25" customHeight="1">
      <c r="A4" s="2">
        <v>360.0</v>
      </c>
      <c r="D4" s="3" t="s">
        <v>5</v>
      </c>
      <c r="E4" s="3">
        <f>(E3-E2)</f>
        <v>4788</v>
      </c>
      <c r="F4" s="3" t="s">
        <v>6</v>
      </c>
      <c r="G4" s="3">
        <f>ROUND(E4/G3,2)</f>
        <v>368.31</v>
      </c>
    </row>
    <row r="5" ht="14.25" customHeight="1">
      <c r="A5" s="4">
        <v>420.0</v>
      </c>
    </row>
    <row r="6" ht="14.25" customHeight="1">
      <c r="A6" s="2">
        <v>400.0</v>
      </c>
      <c r="D6" s="3" t="s">
        <v>7</v>
      </c>
      <c r="E6" s="3" t="s">
        <v>8</v>
      </c>
      <c r="F6" s="3" t="s">
        <v>9</v>
      </c>
      <c r="G6" s="5" t="s">
        <v>10</v>
      </c>
      <c r="H6" s="3" t="s">
        <v>11</v>
      </c>
      <c r="I6" s="5" t="s">
        <v>12</v>
      </c>
      <c r="J6" s="3" t="s">
        <v>13</v>
      </c>
      <c r="K6" s="5" t="s">
        <v>14</v>
      </c>
      <c r="L6" s="6" t="s">
        <v>15</v>
      </c>
      <c r="M6" s="6" t="s">
        <v>16</v>
      </c>
    </row>
    <row r="7" ht="14.25" customHeight="1">
      <c r="A7" s="4">
        <v>180.0</v>
      </c>
      <c r="D7" s="3">
        <v>1.0</v>
      </c>
      <c r="E7" s="3">
        <f>+E2-0.5</f>
        <v>11.5</v>
      </c>
      <c r="F7" s="3">
        <f>+E7+G4</f>
        <v>379.81</v>
      </c>
      <c r="G7" s="3">
        <f t="shared" ref="G7:G19" si="2">+ROUND(AVERAGE(E7:F7),2)</f>
        <v>195.66</v>
      </c>
      <c r="H7" s="3">
        <f t="array" ref="H7:H19">+FREQUENCY(A2:A171,F7:F18)</f>
        <v>77</v>
      </c>
      <c r="I7" s="3">
        <f t="shared" ref="I7:I19" si="3">+ROUND(H7/$H$20,2)</f>
        <v>0.45</v>
      </c>
      <c r="J7" s="3">
        <f t="shared" ref="J7:K7" si="1">+H7</f>
        <v>77</v>
      </c>
      <c r="K7" s="3">
        <f t="shared" si="1"/>
        <v>0.45</v>
      </c>
      <c r="L7" s="3">
        <f t="shared" ref="L7:L19" si="5">G7*I7</f>
        <v>88.047</v>
      </c>
      <c r="M7" s="3">
        <f t="shared" ref="M7:M19" si="6">H7*(G7-$L$20)^2</f>
        <v>7103897.788</v>
      </c>
    </row>
    <row r="8" ht="14.25" customHeight="1">
      <c r="A8" s="2">
        <v>420.0</v>
      </c>
      <c r="D8" s="3">
        <v>2.0</v>
      </c>
      <c r="E8" s="3">
        <f t="shared" ref="E8:E19" si="7">+F7</f>
        <v>379.81</v>
      </c>
      <c r="F8" s="3">
        <f t="shared" ref="F8:F19" si="8">+E8+$G$4</f>
        <v>748.12</v>
      </c>
      <c r="G8" s="3">
        <f t="shared" si="2"/>
        <v>563.97</v>
      </c>
      <c r="H8" s="3">
        <v>80.0</v>
      </c>
      <c r="I8" s="3">
        <f t="shared" si="3"/>
        <v>0.47</v>
      </c>
      <c r="J8" s="3">
        <f t="shared" ref="J8:K8" si="4">+J7+H8</f>
        <v>157</v>
      </c>
      <c r="K8" s="3">
        <f t="shared" si="4"/>
        <v>0.92</v>
      </c>
      <c r="L8" s="3">
        <f t="shared" si="5"/>
        <v>265.0659</v>
      </c>
      <c r="M8" s="3">
        <f t="shared" si="6"/>
        <v>333535.5602</v>
      </c>
    </row>
    <row r="9" ht="14.25" customHeight="1">
      <c r="A9" s="4">
        <v>360.0</v>
      </c>
      <c r="D9" s="3">
        <v>3.0</v>
      </c>
      <c r="E9" s="3">
        <f t="shared" si="7"/>
        <v>748.12</v>
      </c>
      <c r="F9" s="3">
        <f t="shared" si="8"/>
        <v>1116.43</v>
      </c>
      <c r="G9" s="3">
        <f t="shared" si="2"/>
        <v>932.28</v>
      </c>
      <c r="H9" s="3">
        <v>2.0</v>
      </c>
      <c r="I9" s="3">
        <f t="shared" si="3"/>
        <v>0.01</v>
      </c>
      <c r="J9" s="3">
        <f t="shared" ref="J9:K9" si="9">+J8+H9</f>
        <v>159</v>
      </c>
      <c r="K9" s="3">
        <f t="shared" si="9"/>
        <v>0.93</v>
      </c>
      <c r="L9" s="3">
        <f t="shared" si="5"/>
        <v>9.3228</v>
      </c>
      <c r="M9" s="3">
        <f t="shared" si="6"/>
        <v>374768.9767</v>
      </c>
    </row>
    <row r="10" ht="14.25" customHeight="1">
      <c r="A10" s="2">
        <v>360.0</v>
      </c>
      <c r="D10" s="3">
        <v>4.0</v>
      </c>
      <c r="E10" s="3">
        <f t="shared" si="7"/>
        <v>1116.43</v>
      </c>
      <c r="F10" s="3">
        <f t="shared" si="8"/>
        <v>1484.74</v>
      </c>
      <c r="G10" s="3">
        <f t="shared" si="2"/>
        <v>1300.59</v>
      </c>
      <c r="H10" s="3">
        <v>2.0</v>
      </c>
      <c r="I10" s="3">
        <f t="shared" si="3"/>
        <v>0.01</v>
      </c>
      <c r="J10" s="3">
        <f t="shared" ref="J10:K10" si="10">+J9+H10</f>
        <v>161</v>
      </c>
      <c r="K10" s="3">
        <f t="shared" si="10"/>
        <v>0.94</v>
      </c>
      <c r="L10" s="3">
        <f t="shared" si="5"/>
        <v>13.0059</v>
      </c>
      <c r="M10" s="3">
        <f t="shared" si="6"/>
        <v>1283808.589</v>
      </c>
    </row>
    <row r="11" ht="14.25" customHeight="1">
      <c r="A11" s="4">
        <v>360.0</v>
      </c>
      <c r="D11" s="3">
        <v>5.0</v>
      </c>
      <c r="E11" s="3">
        <f t="shared" si="7"/>
        <v>1484.74</v>
      </c>
      <c r="F11" s="3">
        <f t="shared" si="8"/>
        <v>1853.05</v>
      </c>
      <c r="G11" s="3">
        <f t="shared" si="2"/>
        <v>1668.9</v>
      </c>
      <c r="H11" s="3">
        <v>4.0</v>
      </c>
      <c r="I11" s="3">
        <f t="shared" si="3"/>
        <v>0.02</v>
      </c>
      <c r="J11" s="3">
        <f t="shared" ref="J11:K11" si="11">+J10+H11</f>
        <v>165</v>
      </c>
      <c r="K11" s="3">
        <f t="shared" si="11"/>
        <v>0.96</v>
      </c>
      <c r="L11" s="3">
        <f t="shared" si="5"/>
        <v>33.378</v>
      </c>
      <c r="M11" s="3">
        <f t="shared" si="6"/>
        <v>5470914.451</v>
      </c>
    </row>
    <row r="12" ht="14.25" customHeight="1">
      <c r="A12" s="2">
        <v>360.0</v>
      </c>
      <c r="C12" s="3" t="s">
        <v>17</v>
      </c>
      <c r="D12" s="3">
        <v>6.0</v>
      </c>
      <c r="E12" s="3">
        <f t="shared" si="7"/>
        <v>1853.05</v>
      </c>
      <c r="F12" s="3">
        <f t="shared" si="8"/>
        <v>2221.36</v>
      </c>
      <c r="G12" s="3">
        <f t="shared" si="2"/>
        <v>2037.21</v>
      </c>
      <c r="H12" s="3">
        <v>2.0</v>
      </c>
      <c r="I12" s="3">
        <f t="shared" si="3"/>
        <v>0.01</v>
      </c>
      <c r="J12" s="3">
        <f t="shared" ref="J12:K12" si="12">+J11+H12</f>
        <v>167</v>
      </c>
      <c r="K12" s="3">
        <f t="shared" si="12"/>
        <v>0.97</v>
      </c>
      <c r="L12" s="3">
        <f t="shared" si="5"/>
        <v>20.3721</v>
      </c>
      <c r="M12" s="3">
        <f t="shared" si="6"/>
        <v>4729714.886</v>
      </c>
    </row>
    <row r="13" ht="14.25" customHeight="1">
      <c r="A13" s="4">
        <v>360.0</v>
      </c>
      <c r="D13" s="3">
        <v>7.0</v>
      </c>
      <c r="E13" s="3">
        <f t="shared" si="7"/>
        <v>2221.36</v>
      </c>
      <c r="F13" s="3">
        <f t="shared" si="8"/>
        <v>2589.67</v>
      </c>
      <c r="G13" s="3">
        <f t="shared" si="2"/>
        <v>2405.52</v>
      </c>
      <c r="H13" s="3">
        <v>2.0</v>
      </c>
      <c r="I13" s="3">
        <f t="shared" si="3"/>
        <v>0.01</v>
      </c>
      <c r="J13" s="3">
        <f t="shared" ref="J13:K13" si="13">+J12+H13</f>
        <v>169</v>
      </c>
      <c r="K13" s="3">
        <f t="shared" si="13"/>
        <v>0.98</v>
      </c>
      <c r="L13" s="3">
        <f t="shared" si="5"/>
        <v>24.0552</v>
      </c>
      <c r="M13" s="3">
        <f t="shared" si="6"/>
        <v>7266581.572</v>
      </c>
    </row>
    <row r="14" ht="14.25" customHeight="1">
      <c r="A14" s="2">
        <v>360.0</v>
      </c>
      <c r="D14" s="3">
        <v>8.0</v>
      </c>
      <c r="E14" s="3">
        <f t="shared" si="7"/>
        <v>2589.67</v>
      </c>
      <c r="F14" s="3">
        <f t="shared" si="8"/>
        <v>2957.98</v>
      </c>
      <c r="G14" s="3">
        <f t="shared" si="2"/>
        <v>2773.83</v>
      </c>
      <c r="H14" s="3">
        <v>0.0</v>
      </c>
      <c r="I14" s="3">
        <f t="shared" si="3"/>
        <v>0</v>
      </c>
      <c r="J14" s="3">
        <f t="shared" ref="J14:K14" si="14">+J13+H14</f>
        <v>169</v>
      </c>
      <c r="K14" s="3">
        <f t="shared" si="14"/>
        <v>0.98</v>
      </c>
      <c r="L14" s="3">
        <f t="shared" si="5"/>
        <v>0</v>
      </c>
      <c r="M14" s="3">
        <f t="shared" si="6"/>
        <v>0</v>
      </c>
    </row>
    <row r="15" ht="14.25" customHeight="1">
      <c r="A15" s="4">
        <v>360.0</v>
      </c>
      <c r="D15" s="3">
        <v>9.0</v>
      </c>
      <c r="E15" s="3">
        <f t="shared" si="7"/>
        <v>2957.98</v>
      </c>
      <c r="F15" s="3">
        <f t="shared" si="8"/>
        <v>3326.29</v>
      </c>
      <c r="G15" s="3">
        <f t="shared" si="2"/>
        <v>3142.14</v>
      </c>
      <c r="H15" s="3">
        <v>0.0</v>
      </c>
      <c r="I15" s="3">
        <f t="shared" si="3"/>
        <v>0</v>
      </c>
      <c r="J15" s="3">
        <f t="shared" ref="J15:K15" si="15">+J14+H15</f>
        <v>169</v>
      </c>
      <c r="K15" s="3">
        <f t="shared" si="15"/>
        <v>0.98</v>
      </c>
      <c r="L15" s="3">
        <f t="shared" si="5"/>
        <v>0</v>
      </c>
      <c r="M15" s="3">
        <f t="shared" si="6"/>
        <v>0</v>
      </c>
    </row>
    <row r="16" ht="14.25" customHeight="1">
      <c r="A16" s="2">
        <v>360.0</v>
      </c>
      <c r="D16" s="3">
        <v>10.0</v>
      </c>
      <c r="E16" s="3">
        <f t="shared" si="7"/>
        <v>3326.29</v>
      </c>
      <c r="F16" s="3">
        <f t="shared" si="8"/>
        <v>3694.6</v>
      </c>
      <c r="G16" s="3">
        <f t="shared" si="2"/>
        <v>3510.45</v>
      </c>
      <c r="H16" s="3">
        <v>0.0</v>
      </c>
      <c r="I16" s="3">
        <f t="shared" si="3"/>
        <v>0</v>
      </c>
      <c r="J16" s="3">
        <f t="shared" ref="J16:K16" si="16">+J15+H16</f>
        <v>169</v>
      </c>
      <c r="K16" s="3">
        <f t="shared" si="16"/>
        <v>0.98</v>
      </c>
      <c r="L16" s="3">
        <f t="shared" si="5"/>
        <v>0</v>
      </c>
      <c r="M16" s="3">
        <f t="shared" si="6"/>
        <v>0</v>
      </c>
    </row>
    <row r="17" ht="14.25" customHeight="1">
      <c r="A17" s="4">
        <v>180.0</v>
      </c>
      <c r="D17" s="3">
        <v>11.0</v>
      </c>
      <c r="E17" s="3">
        <f t="shared" si="7"/>
        <v>3694.6</v>
      </c>
      <c r="F17" s="3">
        <f t="shared" si="8"/>
        <v>4062.91</v>
      </c>
      <c r="G17" s="3">
        <f t="shared" si="2"/>
        <v>3878.76</v>
      </c>
      <c r="H17" s="3">
        <v>0.0</v>
      </c>
      <c r="I17" s="3">
        <f t="shared" si="3"/>
        <v>0</v>
      </c>
      <c r="J17" s="3">
        <f t="shared" ref="J17:K17" si="17">+J16+H17</f>
        <v>169</v>
      </c>
      <c r="K17" s="3">
        <f t="shared" si="17"/>
        <v>0.98</v>
      </c>
      <c r="L17" s="3">
        <f t="shared" si="5"/>
        <v>0</v>
      </c>
      <c r="M17" s="3">
        <f t="shared" si="6"/>
        <v>0</v>
      </c>
    </row>
    <row r="18" ht="14.25" customHeight="1">
      <c r="A18" s="2">
        <v>240.0</v>
      </c>
      <c r="D18" s="3">
        <v>12.0</v>
      </c>
      <c r="E18" s="3">
        <f t="shared" si="7"/>
        <v>4062.91</v>
      </c>
      <c r="F18" s="3">
        <f t="shared" si="8"/>
        <v>4431.22</v>
      </c>
      <c r="G18" s="3">
        <f t="shared" si="2"/>
        <v>4247.07</v>
      </c>
      <c r="H18" s="3">
        <v>0.0</v>
      </c>
      <c r="I18" s="3">
        <f t="shared" si="3"/>
        <v>0</v>
      </c>
      <c r="J18" s="3">
        <f t="shared" ref="J18:K18" si="18">+J17+H18</f>
        <v>169</v>
      </c>
      <c r="K18" s="3">
        <f t="shared" si="18"/>
        <v>0.98</v>
      </c>
      <c r="L18" s="3">
        <f t="shared" si="5"/>
        <v>0</v>
      </c>
      <c r="M18" s="3">
        <f t="shared" si="6"/>
        <v>0</v>
      </c>
    </row>
    <row r="19" ht="14.25" customHeight="1">
      <c r="A19" s="4">
        <v>180.0</v>
      </c>
      <c r="D19" s="3">
        <v>13.0</v>
      </c>
      <c r="E19" s="3">
        <f t="shared" si="7"/>
        <v>4431.22</v>
      </c>
      <c r="F19" s="3">
        <f t="shared" si="8"/>
        <v>4799.53</v>
      </c>
      <c r="G19" s="3">
        <f t="shared" si="2"/>
        <v>4615.38</v>
      </c>
      <c r="H19" s="3">
        <v>1.0</v>
      </c>
      <c r="I19" s="3">
        <f t="shared" si="3"/>
        <v>0.01</v>
      </c>
      <c r="J19" s="3">
        <f t="shared" ref="J19:K19" si="19">+J18+H19</f>
        <v>170</v>
      </c>
      <c r="K19" s="3">
        <f t="shared" si="19"/>
        <v>0.99</v>
      </c>
      <c r="L19" s="3">
        <f t="shared" si="5"/>
        <v>46.1538</v>
      </c>
      <c r="M19" s="3">
        <f t="shared" si="6"/>
        <v>16941285.6</v>
      </c>
    </row>
    <row r="20" ht="14.25" customHeight="1">
      <c r="A20" s="2">
        <v>480.0</v>
      </c>
      <c r="H20" s="3">
        <f>SUM(H7:H19)</f>
        <v>170</v>
      </c>
      <c r="I20" s="3">
        <f>ROUND(SUM(I7:I19),0)</f>
        <v>1</v>
      </c>
      <c r="L20" s="3">
        <f>SUM(L7:L19)</f>
        <v>499.4007</v>
      </c>
      <c r="M20" s="3">
        <f>sum(M7:M19)</f>
        <v>43504507.42</v>
      </c>
    </row>
    <row r="21" ht="14.25" customHeight="1">
      <c r="A21" s="4">
        <v>300.0</v>
      </c>
    </row>
    <row r="22" ht="14.25" customHeight="1">
      <c r="A22" s="2">
        <v>180.0</v>
      </c>
    </row>
    <row r="23" ht="14.25" customHeight="1">
      <c r="A23" s="4">
        <v>360.0</v>
      </c>
      <c r="C23" s="6" t="s">
        <v>18</v>
      </c>
      <c r="F23" s="6" t="s">
        <v>19</v>
      </c>
    </row>
    <row r="24" ht="14.25" customHeight="1">
      <c r="A24" s="2">
        <v>360.0</v>
      </c>
    </row>
    <row r="25" ht="14.25" customHeight="1">
      <c r="A25" s="4">
        <v>390.0</v>
      </c>
      <c r="C25" s="6" t="s">
        <v>20</v>
      </c>
      <c r="D25" s="3">
        <f>AVERAGE(A2:A171)</f>
        <v>518.6117647</v>
      </c>
      <c r="F25" s="6" t="s">
        <v>20</v>
      </c>
      <c r="G25" s="3">
        <f>SUM(L7:L19)</f>
        <v>499.4007</v>
      </c>
    </row>
    <row r="26" ht="14.25" customHeight="1">
      <c r="A26" s="2">
        <v>360.0</v>
      </c>
      <c r="C26" s="6" t="s">
        <v>21</v>
      </c>
      <c r="D26" s="3">
        <f>MEDIAN(A2:A171)</f>
        <v>400</v>
      </c>
      <c r="F26" s="6" t="s">
        <v>21</v>
      </c>
      <c r="G26" s="3">
        <f>E8+((170/2 - 77)/80)*G4</f>
        <v>416.641</v>
      </c>
    </row>
    <row r="27" ht="14.25" customHeight="1">
      <c r="A27" s="4">
        <v>360.0</v>
      </c>
      <c r="C27" s="6" t="s">
        <v>22</v>
      </c>
      <c r="D27" s="3">
        <f>MODE(A2:A171)</f>
        <v>360</v>
      </c>
      <c r="F27" s="6" t="s">
        <v>22</v>
      </c>
      <c r="G27" s="3">
        <f>E8+((H8-H7)/((H8-H7)+(H8-H9)))*G4</f>
        <v>393.4511111</v>
      </c>
    </row>
    <row r="28" ht="14.25" customHeight="1">
      <c r="A28" s="2">
        <v>480.0</v>
      </c>
      <c r="C28" s="6" t="s">
        <v>23</v>
      </c>
      <c r="D28" s="3">
        <f>_xlfn.VAR.S(A2:A171)</f>
        <v>249329.4223</v>
      </c>
      <c r="F28" s="6" t="s">
        <v>23</v>
      </c>
      <c r="G28" s="3">
        <f>M20/169</f>
        <v>257423.1208</v>
      </c>
    </row>
    <row r="29" ht="14.25" customHeight="1">
      <c r="A29" s="4">
        <v>660.0</v>
      </c>
      <c r="C29" s="6" t="s">
        <v>24</v>
      </c>
      <c r="D29" s="3">
        <f>_xlfn.STDEV.S(A2:A171)</f>
        <v>499.3289721</v>
      </c>
      <c r="F29" s="6" t="s">
        <v>24</v>
      </c>
      <c r="G29" s="3">
        <f>SQRT(G28)</f>
        <v>507.3688213</v>
      </c>
    </row>
    <row r="30" ht="14.25" customHeight="1">
      <c r="A30" s="2">
        <v>660.0</v>
      </c>
    </row>
    <row r="31" ht="14.25" customHeight="1">
      <c r="A31" s="4">
        <v>840.0</v>
      </c>
      <c r="C31" s="6" t="s">
        <v>25</v>
      </c>
      <c r="D31" s="6">
        <f>PERCENTILE(A2:A171, 0.25)</f>
        <v>360</v>
      </c>
      <c r="F31" s="6" t="s">
        <v>25</v>
      </c>
      <c r="G31" s="3">
        <f>E7+((42.5)/H7)*G4</f>
        <v>214.787987</v>
      </c>
    </row>
    <row r="32" ht="14.25" customHeight="1">
      <c r="A32" s="2">
        <v>300.0</v>
      </c>
      <c r="C32" s="6" t="s">
        <v>26</v>
      </c>
      <c r="D32" s="6">
        <f>PERCENTILE(A2:A171, 0.75)</f>
        <v>480</v>
      </c>
      <c r="F32" s="6" t="s">
        <v>26</v>
      </c>
      <c r="G32" s="3">
        <f>E8+((127.5-J7)/H8)*G4</f>
        <v>612.3056875</v>
      </c>
    </row>
    <row r="33" ht="14.25" customHeight="1">
      <c r="A33" s="4">
        <v>240.0</v>
      </c>
      <c r="C33" s="6" t="s">
        <v>27</v>
      </c>
      <c r="D33" s="6">
        <f>PERCENTILE(A2:A171, 0.7)</f>
        <v>480</v>
      </c>
      <c r="F33" s="6" t="s">
        <v>27</v>
      </c>
      <c r="G33" s="3">
        <f>E8+((119-J7)/H8)*G4</f>
        <v>573.17275</v>
      </c>
    </row>
    <row r="34" ht="14.25" customHeight="1">
      <c r="A34" s="2">
        <v>600.0</v>
      </c>
      <c r="C34" s="6" t="s">
        <v>28</v>
      </c>
      <c r="D34" s="6">
        <f>PERCENTILE(A2:A171, 0.82)</f>
        <v>600</v>
      </c>
      <c r="F34" s="6" t="s">
        <v>28</v>
      </c>
      <c r="G34" s="3">
        <f>E8+((139.4-J7)/H8)*G4</f>
        <v>667.0918</v>
      </c>
    </row>
    <row r="35" ht="14.25" customHeight="1">
      <c r="A35" s="7">
        <v>1036.0</v>
      </c>
    </row>
    <row r="36" ht="14.25" customHeight="1">
      <c r="A36" s="2">
        <v>300.0</v>
      </c>
    </row>
    <row r="37" ht="14.25" customHeight="1">
      <c r="A37" s="4">
        <v>360.0</v>
      </c>
    </row>
    <row r="38" ht="14.25" customHeight="1">
      <c r="A38" s="2">
        <v>360.0</v>
      </c>
    </row>
    <row r="39" ht="14.25" customHeight="1">
      <c r="A39" s="4">
        <v>480.0</v>
      </c>
    </row>
    <row r="40" ht="14.25" customHeight="1">
      <c r="A40" s="2">
        <v>360.0</v>
      </c>
    </row>
    <row r="41" ht="14.25" customHeight="1">
      <c r="A41" s="4">
        <v>360.0</v>
      </c>
    </row>
    <row r="42" ht="14.25" customHeight="1">
      <c r="A42" s="2">
        <v>500.0</v>
      </c>
    </row>
    <row r="43" ht="14.25" customHeight="1">
      <c r="A43" s="4">
        <v>480.0</v>
      </c>
    </row>
    <row r="44" ht="14.25" customHeight="1">
      <c r="A44" s="2">
        <v>420.0</v>
      </c>
    </row>
    <row r="45" ht="14.25" customHeight="1">
      <c r="A45" s="4">
        <v>420.0</v>
      </c>
    </row>
    <row r="46" ht="14.25" customHeight="1">
      <c r="A46" s="2">
        <v>600.0</v>
      </c>
    </row>
    <row r="47" ht="14.25" customHeight="1">
      <c r="A47" s="4">
        <v>600.0</v>
      </c>
    </row>
    <row r="48" ht="14.25" customHeight="1">
      <c r="A48" s="2">
        <v>180.0</v>
      </c>
    </row>
    <row r="49" ht="14.25" customHeight="1">
      <c r="A49" s="4">
        <v>480.0</v>
      </c>
    </row>
    <row r="50" ht="14.25" customHeight="1">
      <c r="A50" s="2">
        <v>4800.0</v>
      </c>
    </row>
    <row r="51" ht="14.25" customHeight="1">
      <c r="A51" s="4">
        <v>360.0</v>
      </c>
    </row>
    <row r="52" ht="14.25" customHeight="1">
      <c r="A52" s="2">
        <v>480.0</v>
      </c>
    </row>
    <row r="53" ht="14.25" customHeight="1">
      <c r="A53" s="4">
        <v>360.0</v>
      </c>
    </row>
    <row r="54" ht="14.25" customHeight="1">
      <c r="A54" s="2">
        <v>336.0</v>
      </c>
    </row>
    <row r="55" ht="14.25" customHeight="1">
      <c r="A55" s="4">
        <v>480.0</v>
      </c>
    </row>
    <row r="56" ht="14.25" customHeight="1">
      <c r="A56" s="2">
        <v>360.0</v>
      </c>
    </row>
    <row r="57" ht="14.25" customHeight="1">
      <c r="A57" s="4">
        <v>330.0</v>
      </c>
    </row>
    <row r="58" ht="14.25" customHeight="1">
      <c r="A58" s="2">
        <v>600.0</v>
      </c>
    </row>
    <row r="59" ht="14.25" customHeight="1">
      <c r="A59" s="4">
        <v>420.0</v>
      </c>
    </row>
    <row r="60" ht="14.25" customHeight="1">
      <c r="A60" s="2">
        <v>1440.0</v>
      </c>
    </row>
    <row r="61" ht="14.25" customHeight="1">
      <c r="A61" s="4">
        <v>480.0</v>
      </c>
    </row>
    <row r="62" ht="14.25" customHeight="1">
      <c r="A62" s="2">
        <v>600.0</v>
      </c>
    </row>
    <row r="63" ht="14.25" customHeight="1">
      <c r="A63" s="4">
        <v>480.0</v>
      </c>
    </row>
    <row r="64" ht="14.25" customHeight="1">
      <c r="A64" s="2">
        <v>360.0</v>
      </c>
    </row>
    <row r="65" ht="14.25" customHeight="1">
      <c r="A65" s="4">
        <v>360.0</v>
      </c>
    </row>
    <row r="66" ht="14.25" customHeight="1">
      <c r="A66" s="2">
        <v>44.0</v>
      </c>
    </row>
    <row r="67" ht="14.25" customHeight="1">
      <c r="A67" s="4">
        <v>400.0</v>
      </c>
    </row>
    <row r="68" ht="14.25" customHeight="1">
      <c r="A68" s="2">
        <v>480.0</v>
      </c>
    </row>
    <row r="69" ht="14.25" customHeight="1">
      <c r="A69" s="4">
        <v>360.0</v>
      </c>
    </row>
    <row r="70" ht="14.25" customHeight="1">
      <c r="A70" s="2">
        <v>420.0</v>
      </c>
    </row>
    <row r="71" ht="14.25" customHeight="1">
      <c r="A71" s="4">
        <v>360.0</v>
      </c>
    </row>
    <row r="72" ht="14.25" customHeight="1">
      <c r="A72" s="2">
        <v>480.0</v>
      </c>
    </row>
    <row r="73" ht="14.25" customHeight="1">
      <c r="A73" s="4">
        <v>720.0</v>
      </c>
    </row>
    <row r="74" ht="14.25" customHeight="1">
      <c r="A74" s="2">
        <v>360.0</v>
      </c>
    </row>
    <row r="75" ht="14.25" customHeight="1">
      <c r="A75" s="4">
        <v>240.0</v>
      </c>
    </row>
    <row r="76" ht="14.25" customHeight="1">
      <c r="A76" s="2">
        <v>540.0</v>
      </c>
    </row>
    <row r="77" ht="14.25" customHeight="1">
      <c r="A77" s="4">
        <v>660.0</v>
      </c>
    </row>
    <row r="78" ht="14.25" customHeight="1">
      <c r="A78" s="2">
        <v>480.0</v>
      </c>
    </row>
    <row r="79" ht="14.25" customHeight="1">
      <c r="A79" s="4">
        <v>360.0</v>
      </c>
    </row>
    <row r="80" ht="14.25" customHeight="1">
      <c r="A80" s="2">
        <v>480.0</v>
      </c>
    </row>
    <row r="81" ht="14.25" customHeight="1">
      <c r="A81" s="4">
        <v>400.0</v>
      </c>
    </row>
    <row r="82" ht="14.25" customHeight="1">
      <c r="A82" s="2">
        <v>360.0</v>
      </c>
    </row>
    <row r="83" ht="14.25" customHeight="1">
      <c r="A83" s="4">
        <v>180.0</v>
      </c>
    </row>
    <row r="84" ht="14.25" customHeight="1">
      <c r="A84" s="2">
        <v>360.0</v>
      </c>
    </row>
    <row r="85" ht="14.25" customHeight="1">
      <c r="A85" s="4">
        <v>250.0</v>
      </c>
    </row>
    <row r="86" ht="14.25" customHeight="1">
      <c r="A86" s="2">
        <v>600.0</v>
      </c>
    </row>
    <row r="87" ht="14.25" customHeight="1">
      <c r="A87" s="4">
        <v>600.0</v>
      </c>
    </row>
    <row r="88" ht="14.25" customHeight="1">
      <c r="A88" s="2">
        <v>600.0</v>
      </c>
    </row>
    <row r="89" ht="14.25" customHeight="1">
      <c r="A89" s="4">
        <v>720.0</v>
      </c>
    </row>
    <row r="90" ht="14.25" customHeight="1">
      <c r="A90" s="2">
        <v>600.0</v>
      </c>
    </row>
    <row r="91" ht="14.25" customHeight="1">
      <c r="A91" s="4">
        <v>480.0</v>
      </c>
    </row>
    <row r="92" ht="14.25" customHeight="1">
      <c r="A92" s="2">
        <v>600.0</v>
      </c>
    </row>
    <row r="93" ht="14.25" customHeight="1">
      <c r="A93" s="4">
        <v>1800.0</v>
      </c>
    </row>
    <row r="94" ht="14.25" customHeight="1">
      <c r="A94" s="2">
        <v>2100.0</v>
      </c>
    </row>
    <row r="95" ht="14.25" customHeight="1">
      <c r="A95" s="4">
        <v>1500.0</v>
      </c>
    </row>
    <row r="96" ht="14.25" customHeight="1">
      <c r="A96" s="2">
        <v>2100.0</v>
      </c>
    </row>
    <row r="97" ht="14.25" customHeight="1">
      <c r="A97" s="4">
        <v>1700.0</v>
      </c>
    </row>
    <row r="98" ht="14.25" customHeight="1">
      <c r="A98" s="2">
        <v>480.0</v>
      </c>
    </row>
    <row r="99" ht="14.25" customHeight="1">
      <c r="A99" s="4">
        <v>360.0</v>
      </c>
    </row>
    <row r="100" ht="14.25" customHeight="1">
      <c r="A100" s="2">
        <v>12.0</v>
      </c>
    </row>
    <row r="101" ht="14.25" customHeight="1">
      <c r="A101" s="4">
        <v>360.0</v>
      </c>
    </row>
    <row r="102" ht="14.25" customHeight="1">
      <c r="A102" s="2">
        <v>480.0</v>
      </c>
    </row>
    <row r="103" ht="14.25" customHeight="1">
      <c r="A103" s="4">
        <v>360.0</v>
      </c>
    </row>
    <row r="104" ht="14.25" customHeight="1">
      <c r="A104" s="2">
        <v>480.0</v>
      </c>
    </row>
    <row r="105" ht="14.25" customHeight="1">
      <c r="A105" s="4">
        <v>600.0</v>
      </c>
    </row>
    <row r="106" ht="14.25" customHeight="1">
      <c r="A106" s="2">
        <v>540.0</v>
      </c>
    </row>
    <row r="107" ht="14.25" customHeight="1">
      <c r="A107" s="4">
        <v>360.0</v>
      </c>
    </row>
    <row r="108" ht="14.25" customHeight="1">
      <c r="A108" s="2">
        <v>540.0</v>
      </c>
    </row>
    <row r="109" ht="14.25" customHeight="1">
      <c r="A109" s="4">
        <v>420.0</v>
      </c>
    </row>
    <row r="110" ht="14.25" customHeight="1">
      <c r="A110" s="2">
        <v>480.0</v>
      </c>
    </row>
    <row r="111" ht="14.25" customHeight="1">
      <c r="A111" s="4">
        <v>480.0</v>
      </c>
    </row>
    <row r="112" ht="14.25" customHeight="1">
      <c r="A112" s="2">
        <v>600.0</v>
      </c>
    </row>
    <row r="113" ht="14.25" customHeight="1">
      <c r="A113" s="4">
        <v>480.0</v>
      </c>
    </row>
    <row r="114" ht="14.25" customHeight="1">
      <c r="A114" s="2">
        <v>300.0</v>
      </c>
    </row>
    <row r="115" ht="14.25" customHeight="1">
      <c r="A115" s="4">
        <v>90.0</v>
      </c>
    </row>
    <row r="116" ht="14.25" customHeight="1">
      <c r="A116" s="2">
        <v>600.0</v>
      </c>
    </row>
    <row r="117" ht="14.25" customHeight="1">
      <c r="A117" s="4">
        <v>480.0</v>
      </c>
    </row>
    <row r="118" ht="14.25" customHeight="1">
      <c r="A118" s="2">
        <v>480.0</v>
      </c>
    </row>
    <row r="119" ht="14.25" customHeight="1">
      <c r="A119" s="4">
        <v>360.0</v>
      </c>
    </row>
    <row r="120" ht="14.25" customHeight="1">
      <c r="A120" s="2">
        <v>360.0</v>
      </c>
    </row>
    <row r="121" ht="14.25" customHeight="1">
      <c r="A121" s="4">
        <v>360.0</v>
      </c>
    </row>
    <row r="122" ht="14.25" customHeight="1">
      <c r="A122" s="2">
        <v>420.0</v>
      </c>
    </row>
    <row r="123" ht="14.25" customHeight="1">
      <c r="A123" s="4">
        <v>400.0</v>
      </c>
    </row>
    <row r="124" ht="14.25" customHeight="1">
      <c r="A124" s="2">
        <v>480.0</v>
      </c>
    </row>
    <row r="125" ht="14.25" customHeight="1">
      <c r="A125" s="4">
        <v>240.0</v>
      </c>
    </row>
    <row r="126" ht="14.25" customHeight="1">
      <c r="A126" s="2">
        <v>360.0</v>
      </c>
    </row>
    <row r="127" ht="14.25" customHeight="1">
      <c r="A127" s="4">
        <v>480.0</v>
      </c>
    </row>
    <row r="128" ht="14.25" customHeight="1">
      <c r="A128" s="2">
        <v>600.0</v>
      </c>
    </row>
    <row r="129" ht="14.25" customHeight="1">
      <c r="A129" s="4">
        <v>480.0</v>
      </c>
    </row>
    <row r="130" ht="14.25" customHeight="1">
      <c r="A130" s="2">
        <v>480.0</v>
      </c>
    </row>
    <row r="131" ht="14.25" customHeight="1">
      <c r="A131" s="4">
        <v>360.0</v>
      </c>
    </row>
    <row r="132" ht="14.25" customHeight="1">
      <c r="A132" s="2">
        <v>360.0</v>
      </c>
    </row>
    <row r="133" ht="14.25" customHeight="1">
      <c r="A133" s="4">
        <v>120.0</v>
      </c>
    </row>
    <row r="134" ht="14.25" customHeight="1">
      <c r="A134" s="2">
        <v>240.0</v>
      </c>
    </row>
    <row r="135" ht="14.25" customHeight="1">
      <c r="A135" s="4">
        <v>324.0</v>
      </c>
    </row>
    <row r="136" ht="14.25" customHeight="1">
      <c r="A136" s="2">
        <v>180.0</v>
      </c>
    </row>
    <row r="137" ht="14.25" customHeight="1">
      <c r="A137" s="4">
        <v>180.0</v>
      </c>
    </row>
    <row r="138" ht="14.25" customHeight="1">
      <c r="A138" s="2">
        <v>1680.0</v>
      </c>
    </row>
    <row r="139" ht="14.25" customHeight="1">
      <c r="A139" s="4">
        <v>180.0</v>
      </c>
    </row>
    <row r="140" ht="14.25" customHeight="1">
      <c r="A140" s="2">
        <v>2280.0</v>
      </c>
    </row>
    <row r="141" ht="14.25" customHeight="1">
      <c r="A141" s="4">
        <v>1320.0</v>
      </c>
    </row>
    <row r="142" ht="14.25" customHeight="1">
      <c r="A142" s="2">
        <v>2400.0</v>
      </c>
    </row>
    <row r="143" ht="14.25" customHeight="1">
      <c r="A143" s="4">
        <v>600.0</v>
      </c>
    </row>
    <row r="144" ht="14.25" customHeight="1">
      <c r="A144" s="2">
        <v>360.0</v>
      </c>
    </row>
    <row r="145" ht="14.25" customHeight="1">
      <c r="A145" s="4">
        <v>360.0</v>
      </c>
    </row>
    <row r="146" ht="14.25" customHeight="1">
      <c r="A146" s="2">
        <v>420.0</v>
      </c>
    </row>
    <row r="147" ht="14.25" customHeight="1">
      <c r="A147" s="4">
        <v>360.0</v>
      </c>
    </row>
    <row r="148" ht="14.25" customHeight="1">
      <c r="A148" s="2">
        <v>480.0</v>
      </c>
    </row>
    <row r="149" ht="14.25" customHeight="1">
      <c r="A149" s="4">
        <v>300.0</v>
      </c>
    </row>
    <row r="150" ht="14.25" customHeight="1">
      <c r="A150" s="2">
        <v>400.0</v>
      </c>
    </row>
    <row r="151" ht="14.25" customHeight="1">
      <c r="A151" s="4">
        <v>516.0</v>
      </c>
    </row>
    <row r="152" ht="14.25" customHeight="1">
      <c r="A152" s="2">
        <v>400.0</v>
      </c>
    </row>
    <row r="153" ht="14.25" customHeight="1">
      <c r="A153" s="4">
        <v>520.0</v>
      </c>
    </row>
    <row r="154" ht="14.25" customHeight="1">
      <c r="A154" s="2">
        <v>416.0</v>
      </c>
    </row>
    <row r="155" ht="14.25" customHeight="1">
      <c r="A155" s="4">
        <v>500.0</v>
      </c>
    </row>
    <row r="156" ht="14.25" customHeight="1">
      <c r="A156" s="2">
        <v>360.0</v>
      </c>
    </row>
    <row r="157" ht="14.25" customHeight="1">
      <c r="A157" s="4">
        <v>480.0</v>
      </c>
    </row>
    <row r="158" ht="14.25" customHeight="1">
      <c r="A158" s="2">
        <v>600.0</v>
      </c>
    </row>
    <row r="159" ht="14.25" customHeight="1">
      <c r="A159" s="4">
        <v>360.0</v>
      </c>
    </row>
    <row r="160" ht="14.25" customHeight="1">
      <c r="A160" s="2">
        <v>30.0</v>
      </c>
    </row>
    <row r="161" ht="14.25" customHeight="1">
      <c r="A161" s="4">
        <v>420.0</v>
      </c>
    </row>
    <row r="162" ht="14.25" customHeight="1">
      <c r="A162" s="2">
        <v>600.0</v>
      </c>
    </row>
    <row r="163" ht="14.25" customHeight="1">
      <c r="A163" s="4">
        <v>360.0</v>
      </c>
    </row>
    <row r="164" ht="14.25" customHeight="1">
      <c r="A164" s="2">
        <v>360.0</v>
      </c>
    </row>
    <row r="165" ht="14.25" customHeight="1">
      <c r="A165" s="4">
        <v>480.0</v>
      </c>
    </row>
    <row r="166" ht="14.25" customHeight="1">
      <c r="A166" s="2">
        <v>180.0</v>
      </c>
    </row>
    <row r="167" ht="14.25" customHeight="1">
      <c r="A167" s="4">
        <v>380.0</v>
      </c>
    </row>
    <row r="168" ht="14.25" customHeight="1">
      <c r="A168" s="2">
        <v>430.0</v>
      </c>
    </row>
    <row r="169" ht="14.25" customHeight="1">
      <c r="A169" s="4">
        <v>400.0</v>
      </c>
    </row>
    <row r="170" ht="14.25" customHeight="1">
      <c r="A170" s="2">
        <v>180.0</v>
      </c>
    </row>
    <row r="171" ht="14.25" customHeight="1">
      <c r="A171" s="4">
        <v>400.0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8" t="s">
        <v>29</v>
      </c>
    </row>
    <row r="2" ht="14.25" customHeight="1">
      <c r="A2" s="2">
        <v>9.3</v>
      </c>
      <c r="D2" s="3" t="s">
        <v>1</v>
      </c>
      <c r="E2" s="3">
        <f>+MIN(A2:A171)</f>
        <v>6.8</v>
      </c>
      <c r="F2" s="3" t="s">
        <v>2</v>
      </c>
      <c r="G2" s="3">
        <v>170.0</v>
      </c>
    </row>
    <row r="3" ht="14.25" customHeight="1">
      <c r="A3" s="4">
        <v>9.2</v>
      </c>
      <c r="D3" s="3" t="s">
        <v>3</v>
      </c>
      <c r="E3" s="3">
        <f>MAX(A2:A171)</f>
        <v>9.9</v>
      </c>
      <c r="F3" s="3" t="s">
        <v>4</v>
      </c>
      <c r="G3" s="3">
        <f>ROUND(SQRT(G2),0)</f>
        <v>13</v>
      </c>
    </row>
    <row r="4" ht="14.25" customHeight="1">
      <c r="A4" s="2">
        <v>9.5</v>
      </c>
      <c r="D4" s="3" t="s">
        <v>5</v>
      </c>
      <c r="E4" s="3">
        <f>(E3-E2)</f>
        <v>3.1</v>
      </c>
      <c r="F4" s="3" t="s">
        <v>6</v>
      </c>
      <c r="G4" s="3">
        <f>ROUND(E4/G3,2)</f>
        <v>0.24</v>
      </c>
    </row>
    <row r="5" ht="14.25" customHeight="1">
      <c r="A5" s="4">
        <v>8.0</v>
      </c>
    </row>
    <row r="6" ht="14.25" customHeight="1">
      <c r="A6" s="2">
        <v>8.8</v>
      </c>
      <c r="D6" s="3" t="s">
        <v>7</v>
      </c>
      <c r="E6" s="3" t="s">
        <v>8</v>
      </c>
      <c r="F6" s="3" t="s">
        <v>9</v>
      </c>
      <c r="G6" s="5" t="s">
        <v>10</v>
      </c>
      <c r="H6" s="3" t="s">
        <v>11</v>
      </c>
      <c r="I6" s="5" t="s">
        <v>12</v>
      </c>
      <c r="J6" s="3" t="s">
        <v>13</v>
      </c>
      <c r="K6" s="5" t="s">
        <v>14</v>
      </c>
      <c r="L6" s="6" t="s">
        <v>15</v>
      </c>
      <c r="M6" s="6" t="s">
        <v>16</v>
      </c>
      <c r="O6" s="6" t="s">
        <v>18</v>
      </c>
      <c r="R6" s="6" t="s">
        <v>19</v>
      </c>
    </row>
    <row r="7" ht="14.25" customHeight="1">
      <c r="A7" s="4">
        <v>9.3</v>
      </c>
      <c r="D7" s="3">
        <v>1.0</v>
      </c>
      <c r="E7" s="3">
        <f>+E2-0.05</f>
        <v>6.75</v>
      </c>
      <c r="F7" s="3">
        <f>+E7+G4</f>
        <v>6.99</v>
      </c>
      <c r="G7" s="3">
        <f t="shared" ref="G7:G19" si="2">+ROUND(AVERAGE(E7:F7),2)</f>
        <v>6.87</v>
      </c>
      <c r="H7" s="3">
        <f t="array" ref="H7:H19">+FREQUENCY(A2:A171,F7:F18)</f>
        <v>2</v>
      </c>
      <c r="I7" s="3">
        <f t="shared" ref="I7:I19" si="3">+ROUND(H7/$H$20,2)</f>
        <v>0.01</v>
      </c>
      <c r="J7" s="3">
        <f t="shared" ref="J7:K7" si="1">+H7</f>
        <v>2</v>
      </c>
      <c r="K7" s="3">
        <f t="shared" si="1"/>
        <v>0.01</v>
      </c>
      <c r="L7" s="3">
        <f t="shared" ref="L7:L19" si="5">G7*I7</f>
        <v>0.0687</v>
      </c>
      <c r="M7" s="3">
        <f t="shared" ref="M7:M19" si="6">H7*(G7-8.6613)^2</f>
        <v>6.41751138</v>
      </c>
    </row>
    <row r="8" ht="14.25" customHeight="1">
      <c r="A8" s="2">
        <v>8.6</v>
      </c>
      <c r="D8" s="3">
        <v>2.0</v>
      </c>
      <c r="E8" s="3">
        <f t="shared" ref="E8:E19" si="7">+F7</f>
        <v>6.99</v>
      </c>
      <c r="F8" s="3">
        <f t="shared" ref="F8:F19" si="8">+E8+$G$4</f>
        <v>7.23</v>
      </c>
      <c r="G8" s="3">
        <f t="shared" si="2"/>
        <v>7.11</v>
      </c>
      <c r="H8" s="3">
        <v>4.0</v>
      </c>
      <c r="I8" s="3">
        <f t="shared" si="3"/>
        <v>0.02</v>
      </c>
      <c r="J8" s="3">
        <f t="shared" ref="J8:K8" si="4">+J7+H8</f>
        <v>6</v>
      </c>
      <c r="K8" s="3">
        <f t="shared" si="4"/>
        <v>0.03</v>
      </c>
      <c r="L8" s="3">
        <f t="shared" si="5"/>
        <v>0.1422</v>
      </c>
      <c r="M8" s="3">
        <f t="shared" si="6"/>
        <v>9.62612676</v>
      </c>
      <c r="O8" s="6" t="s">
        <v>20</v>
      </c>
      <c r="P8" s="3">
        <f>AVERAGE(A5:A174)</f>
        <v>8.725149701</v>
      </c>
      <c r="R8" s="6" t="s">
        <v>20</v>
      </c>
      <c r="S8" s="3">
        <f>SUM(L7:L19)</f>
        <v>8.6613</v>
      </c>
    </row>
    <row r="9" ht="14.25" customHeight="1">
      <c r="A9" s="4">
        <v>9.4</v>
      </c>
      <c r="D9" s="3">
        <v>3.0</v>
      </c>
      <c r="E9" s="3">
        <f t="shared" si="7"/>
        <v>7.23</v>
      </c>
      <c r="F9" s="3">
        <f t="shared" si="8"/>
        <v>7.47</v>
      </c>
      <c r="G9" s="3">
        <f t="shared" si="2"/>
        <v>7.35</v>
      </c>
      <c r="H9" s="3">
        <v>2.0</v>
      </c>
      <c r="I9" s="3">
        <f t="shared" si="3"/>
        <v>0.01</v>
      </c>
      <c r="J9" s="3">
        <f t="shared" ref="J9:K9" si="9">+J8+H9</f>
        <v>8</v>
      </c>
      <c r="K9" s="3">
        <f t="shared" si="9"/>
        <v>0.04</v>
      </c>
      <c r="L9" s="3">
        <f t="shared" si="5"/>
        <v>0.0735</v>
      </c>
      <c r="M9" s="3">
        <f t="shared" si="6"/>
        <v>3.43901538</v>
      </c>
      <c r="O9" s="6" t="s">
        <v>21</v>
      </c>
      <c r="P9" s="3">
        <f>MEDIAN(A5:A174)</f>
        <v>8.8</v>
      </c>
      <c r="R9" s="6" t="s">
        <v>21</v>
      </c>
      <c r="S9" s="3">
        <f>E15+(85-J14)/H15*G4</f>
        <v>8.798</v>
      </c>
    </row>
    <row r="10" ht="14.25" customHeight="1">
      <c r="A10" s="2">
        <v>9.6</v>
      </c>
      <c r="D10" s="3">
        <v>4.0</v>
      </c>
      <c r="E10" s="3">
        <f t="shared" si="7"/>
        <v>7.47</v>
      </c>
      <c r="F10" s="3">
        <f t="shared" si="8"/>
        <v>7.71</v>
      </c>
      <c r="G10" s="3">
        <f t="shared" si="2"/>
        <v>7.59</v>
      </c>
      <c r="H10" s="3">
        <v>2.0</v>
      </c>
      <c r="I10" s="3">
        <f t="shared" si="3"/>
        <v>0.01</v>
      </c>
      <c r="J10" s="3">
        <f t="shared" ref="J10:K10" si="10">+J9+H10</f>
        <v>10</v>
      </c>
      <c r="K10" s="3">
        <f t="shared" si="10"/>
        <v>0.05</v>
      </c>
      <c r="L10" s="3">
        <f t="shared" si="5"/>
        <v>0.0759</v>
      </c>
      <c r="M10" s="3">
        <f t="shared" si="6"/>
        <v>2.29536738</v>
      </c>
      <c r="O10" s="6" t="s">
        <v>22</v>
      </c>
      <c r="P10" s="3">
        <f>MODE(A5:A174)</f>
        <v>8.5</v>
      </c>
      <c r="R10" s="6" t="s">
        <v>22</v>
      </c>
      <c r="S10" s="3">
        <f>E15+((H15-H14)/((H15-H14)+(H15-H16)))*G4</f>
        <v>8.754705882</v>
      </c>
    </row>
    <row r="11" ht="14.25" customHeight="1">
      <c r="A11" s="4">
        <v>9.0</v>
      </c>
      <c r="D11" s="3">
        <v>5.0</v>
      </c>
      <c r="E11" s="3">
        <f t="shared" si="7"/>
        <v>7.71</v>
      </c>
      <c r="F11" s="3">
        <f t="shared" si="8"/>
        <v>7.95</v>
      </c>
      <c r="G11" s="3">
        <f t="shared" si="2"/>
        <v>7.83</v>
      </c>
      <c r="H11" s="3">
        <v>13.0</v>
      </c>
      <c r="I11" s="3">
        <f t="shared" si="3"/>
        <v>0.08</v>
      </c>
      <c r="J11" s="3">
        <f t="shared" ref="J11:K11" si="11">+J10+H11</f>
        <v>23</v>
      </c>
      <c r="K11" s="3">
        <f t="shared" si="11"/>
        <v>0.13</v>
      </c>
      <c r="L11" s="3">
        <f t="shared" si="5"/>
        <v>0.6264</v>
      </c>
      <c r="M11" s="3">
        <f t="shared" si="6"/>
        <v>8.98377597</v>
      </c>
      <c r="O11" s="6" t="s">
        <v>23</v>
      </c>
      <c r="P11" s="3">
        <f>_xlfn.VAR.S(A5:A174)</f>
        <v>0.4226166943</v>
      </c>
      <c r="R11" s="6" t="s">
        <v>23</v>
      </c>
      <c r="S11" s="3">
        <f>M20/169</f>
        <v>0.424133984</v>
      </c>
    </row>
    <row r="12" ht="14.25" customHeight="1">
      <c r="A12" s="2">
        <v>7.3</v>
      </c>
      <c r="D12" s="3">
        <v>6.0</v>
      </c>
      <c r="E12" s="3">
        <f t="shared" si="7"/>
        <v>7.95</v>
      </c>
      <c r="F12" s="3">
        <f t="shared" si="8"/>
        <v>8.19</v>
      </c>
      <c r="G12" s="3">
        <f t="shared" si="2"/>
        <v>8.07</v>
      </c>
      <c r="H12" s="3">
        <v>7.0</v>
      </c>
      <c r="I12" s="3">
        <f t="shared" si="3"/>
        <v>0.04</v>
      </c>
      <c r="J12" s="3">
        <f t="shared" ref="J12:K12" si="12">+J11+H12</f>
        <v>30</v>
      </c>
      <c r="K12" s="3">
        <f t="shared" si="12"/>
        <v>0.17</v>
      </c>
      <c r="L12" s="3">
        <f t="shared" si="5"/>
        <v>0.3228</v>
      </c>
      <c r="M12" s="3">
        <f t="shared" si="6"/>
        <v>2.44744983</v>
      </c>
      <c r="O12" s="6" t="s">
        <v>24</v>
      </c>
      <c r="P12" s="3">
        <f>_xlfn.STDEV.S(A5:A174)</f>
        <v>0.6500897587</v>
      </c>
      <c r="R12" s="6" t="s">
        <v>24</v>
      </c>
      <c r="S12" s="3">
        <f>SQRT(S11)</f>
        <v>0.6512556979</v>
      </c>
    </row>
    <row r="13" ht="14.25" customHeight="1">
      <c r="A13" s="4">
        <v>8.4</v>
      </c>
      <c r="D13" s="3">
        <v>7.0</v>
      </c>
      <c r="E13" s="3">
        <f t="shared" si="7"/>
        <v>8.19</v>
      </c>
      <c r="F13" s="3">
        <f t="shared" si="8"/>
        <v>8.43</v>
      </c>
      <c r="G13" s="3">
        <f t="shared" si="2"/>
        <v>8.31</v>
      </c>
      <c r="H13" s="3">
        <v>15.0</v>
      </c>
      <c r="I13" s="3">
        <f t="shared" si="3"/>
        <v>0.09</v>
      </c>
      <c r="J13" s="3">
        <f t="shared" ref="J13:K13" si="13">+J12+H13</f>
        <v>45</v>
      </c>
      <c r="K13" s="3">
        <f t="shared" si="13"/>
        <v>0.26</v>
      </c>
      <c r="L13" s="3">
        <f t="shared" si="5"/>
        <v>0.7479</v>
      </c>
      <c r="M13" s="3">
        <f t="shared" si="6"/>
        <v>1.85117535</v>
      </c>
    </row>
    <row r="14" ht="14.25" customHeight="1">
      <c r="A14" s="2">
        <v>7.5</v>
      </c>
      <c r="D14" s="3">
        <v>8.0</v>
      </c>
      <c r="E14" s="3">
        <f t="shared" si="7"/>
        <v>8.43</v>
      </c>
      <c r="F14" s="3">
        <f t="shared" si="8"/>
        <v>8.67</v>
      </c>
      <c r="G14" s="3">
        <f t="shared" si="2"/>
        <v>8.55</v>
      </c>
      <c r="H14" s="3">
        <v>24.0</v>
      </c>
      <c r="I14" s="3">
        <f t="shared" si="3"/>
        <v>0.14</v>
      </c>
      <c r="J14" s="3">
        <f t="shared" ref="J14:K14" si="14">+J13+H14</f>
        <v>69</v>
      </c>
      <c r="K14" s="3">
        <f t="shared" si="14"/>
        <v>0.4</v>
      </c>
      <c r="L14" s="3">
        <f t="shared" si="5"/>
        <v>1.197</v>
      </c>
      <c r="M14" s="3">
        <f t="shared" si="6"/>
        <v>0.29730456</v>
      </c>
      <c r="O14" s="6" t="s">
        <v>25</v>
      </c>
      <c r="P14" s="6">
        <f>PERCENTILE(A6:A175, 0.25)</f>
        <v>8.4</v>
      </c>
      <c r="R14" s="6" t="s">
        <v>25</v>
      </c>
      <c r="S14" s="3">
        <f>E13+((42.5-J12)/H13)*G4</f>
        <v>8.39</v>
      </c>
    </row>
    <row r="15" ht="14.25" customHeight="1">
      <c r="A15" s="4">
        <v>7.8</v>
      </c>
      <c r="D15" s="3">
        <v>9.0</v>
      </c>
      <c r="E15" s="3">
        <f t="shared" si="7"/>
        <v>8.67</v>
      </c>
      <c r="F15" s="3">
        <f t="shared" si="8"/>
        <v>8.91</v>
      </c>
      <c r="G15" s="3">
        <f t="shared" si="2"/>
        <v>8.79</v>
      </c>
      <c r="H15" s="3">
        <v>30.0</v>
      </c>
      <c r="I15" s="3">
        <f t="shared" si="3"/>
        <v>0.18</v>
      </c>
      <c r="J15" s="3">
        <f t="shared" ref="J15:K15" si="15">+J14+H15</f>
        <v>99</v>
      </c>
      <c r="K15" s="3">
        <f t="shared" si="15"/>
        <v>0.58</v>
      </c>
      <c r="L15" s="3">
        <f t="shared" si="5"/>
        <v>1.5822</v>
      </c>
      <c r="M15" s="3">
        <f t="shared" si="6"/>
        <v>0.4969107</v>
      </c>
      <c r="O15" s="6" t="s">
        <v>26</v>
      </c>
      <c r="P15" s="6">
        <f>PERCENTILE(A6:A175, 0.75)</f>
        <v>9.2</v>
      </c>
      <c r="R15" s="6" t="s">
        <v>26</v>
      </c>
      <c r="S15" s="3">
        <f>E17+((127.5-J16)/H17)*G4</f>
        <v>9.231428571</v>
      </c>
    </row>
    <row r="16" ht="14.25" customHeight="1">
      <c r="A16" s="2">
        <v>8.5</v>
      </c>
      <c r="D16" s="3">
        <v>10.0</v>
      </c>
      <c r="E16" s="3">
        <f t="shared" si="7"/>
        <v>8.91</v>
      </c>
      <c r="F16" s="3">
        <f t="shared" si="8"/>
        <v>9.15</v>
      </c>
      <c r="G16" s="3">
        <f t="shared" si="2"/>
        <v>9.03</v>
      </c>
      <c r="H16" s="3">
        <v>19.0</v>
      </c>
      <c r="I16" s="3">
        <f t="shared" si="3"/>
        <v>0.11</v>
      </c>
      <c r="J16" s="3">
        <f t="shared" ref="J16:K16" si="16">+J15+H16</f>
        <v>118</v>
      </c>
      <c r="K16" s="3">
        <f t="shared" si="16"/>
        <v>0.69</v>
      </c>
      <c r="L16" s="3">
        <f t="shared" si="5"/>
        <v>0.9933</v>
      </c>
      <c r="M16" s="3">
        <f t="shared" si="6"/>
        <v>2.58285411</v>
      </c>
      <c r="O16" s="6" t="s">
        <v>27</v>
      </c>
      <c r="P16" s="6">
        <f>PERCENTILE(A6:A175, 0.7)</f>
        <v>9.1</v>
      </c>
      <c r="R16" s="6" t="s">
        <v>27</v>
      </c>
      <c r="S16" s="3">
        <f>E17+((119-J16)/H17)*G4</f>
        <v>9.158571429</v>
      </c>
    </row>
    <row r="17" ht="14.25" customHeight="1">
      <c r="A17" s="4">
        <v>8.5</v>
      </c>
      <c r="D17" s="3">
        <v>11.0</v>
      </c>
      <c r="E17" s="3">
        <f t="shared" si="7"/>
        <v>9.15</v>
      </c>
      <c r="F17" s="3">
        <f t="shared" si="8"/>
        <v>9.39</v>
      </c>
      <c r="G17" s="3">
        <f t="shared" si="2"/>
        <v>9.27</v>
      </c>
      <c r="H17" s="3">
        <v>28.0</v>
      </c>
      <c r="I17" s="3">
        <f t="shared" si="3"/>
        <v>0.16</v>
      </c>
      <c r="J17" s="3">
        <f t="shared" ref="J17:K17" si="17">+J16+H17</f>
        <v>146</v>
      </c>
      <c r="K17" s="3">
        <f t="shared" si="17"/>
        <v>0.85</v>
      </c>
      <c r="L17" s="3">
        <f t="shared" si="5"/>
        <v>1.4832</v>
      </c>
      <c r="M17" s="3">
        <f t="shared" si="6"/>
        <v>10.37443932</v>
      </c>
      <c r="O17" s="6" t="s">
        <v>28</v>
      </c>
      <c r="P17" s="6">
        <f>PERCENTILE(A6:A175, 0.82)</f>
        <v>9.3</v>
      </c>
      <c r="R17" s="6" t="s">
        <v>28</v>
      </c>
      <c r="S17" s="3">
        <f>E17+((139.4-J16)/H17)*G4</f>
        <v>9.333428571</v>
      </c>
    </row>
    <row r="18" ht="14.25" customHeight="1">
      <c r="A18" s="2">
        <v>8.8</v>
      </c>
      <c r="D18" s="3">
        <v>12.0</v>
      </c>
      <c r="E18" s="3">
        <f t="shared" si="7"/>
        <v>9.39</v>
      </c>
      <c r="F18" s="3">
        <f t="shared" si="8"/>
        <v>9.63</v>
      </c>
      <c r="G18" s="3">
        <f t="shared" si="2"/>
        <v>9.51</v>
      </c>
      <c r="H18" s="3">
        <v>12.0</v>
      </c>
      <c r="I18" s="3">
        <f t="shared" si="3"/>
        <v>0.07</v>
      </c>
      <c r="J18" s="3">
        <f t="shared" ref="J18:K18" si="18">+J17+H18</f>
        <v>158</v>
      </c>
      <c r="K18" s="3">
        <f t="shared" si="18"/>
        <v>0.92</v>
      </c>
      <c r="L18" s="3">
        <f t="shared" si="5"/>
        <v>0.6657</v>
      </c>
      <c r="M18" s="3">
        <f t="shared" si="6"/>
        <v>8.64350028</v>
      </c>
    </row>
    <row r="19" ht="14.25" customHeight="1">
      <c r="A19" s="4">
        <v>9.3</v>
      </c>
      <c r="D19" s="3">
        <v>13.0</v>
      </c>
      <c r="E19" s="3">
        <f t="shared" si="7"/>
        <v>9.63</v>
      </c>
      <c r="F19" s="3">
        <f t="shared" si="8"/>
        <v>9.87</v>
      </c>
      <c r="G19" s="3">
        <f t="shared" si="2"/>
        <v>9.75</v>
      </c>
      <c r="H19" s="3">
        <v>12.0</v>
      </c>
      <c r="I19" s="3">
        <f t="shared" si="3"/>
        <v>0.07</v>
      </c>
      <c r="J19" s="3">
        <f t="shared" ref="J19:K19" si="19">+J18+H19</f>
        <v>170</v>
      </c>
      <c r="K19" s="3">
        <f t="shared" si="19"/>
        <v>0.99</v>
      </c>
      <c r="L19" s="3">
        <f t="shared" si="5"/>
        <v>0.6825</v>
      </c>
      <c r="M19" s="3">
        <f t="shared" si="6"/>
        <v>14.22321228</v>
      </c>
    </row>
    <row r="20" ht="14.25" customHeight="1">
      <c r="A20" s="2">
        <v>7.8</v>
      </c>
      <c r="H20" s="3">
        <f>SUM(H7:H19)</f>
        <v>170</v>
      </c>
      <c r="I20" s="3">
        <f>ROUND(SUM(I7:I19),0)</f>
        <v>1</v>
      </c>
      <c r="L20" s="3">
        <f>SUM(L7:L19)</f>
        <v>8.6613</v>
      </c>
      <c r="M20" s="3">
        <f>sum(M7:M19)</f>
        <v>71.6786433</v>
      </c>
    </row>
    <row r="21" ht="14.25" customHeight="1">
      <c r="A21" s="4">
        <v>8.0</v>
      </c>
    </row>
    <row r="22" ht="14.25" customHeight="1">
      <c r="A22" s="2">
        <v>8.5</v>
      </c>
    </row>
    <row r="23" ht="14.25" customHeight="1">
      <c r="A23" s="4">
        <v>8.9</v>
      </c>
    </row>
    <row r="24" ht="14.25" customHeight="1">
      <c r="A24" s="2">
        <v>8.6</v>
      </c>
    </row>
    <row r="25" ht="14.25" customHeight="1">
      <c r="A25" s="4">
        <v>8.8</v>
      </c>
    </row>
    <row r="26" ht="14.25" customHeight="1">
      <c r="A26" s="2">
        <v>8.4</v>
      </c>
    </row>
    <row r="27" ht="14.25" customHeight="1">
      <c r="A27" s="4">
        <v>8.8</v>
      </c>
    </row>
    <row r="28" ht="14.25" customHeight="1">
      <c r="A28" s="2">
        <v>9.6</v>
      </c>
    </row>
    <row r="29" ht="14.25" customHeight="1">
      <c r="A29" s="4">
        <v>9.7</v>
      </c>
    </row>
    <row r="30" ht="14.25" customHeight="1">
      <c r="A30" s="2">
        <v>9.2</v>
      </c>
    </row>
    <row r="31" ht="14.25" customHeight="1">
      <c r="A31" s="4">
        <v>9.5</v>
      </c>
    </row>
    <row r="32" ht="14.25" customHeight="1">
      <c r="A32" s="2">
        <v>9.7</v>
      </c>
    </row>
    <row r="33" ht="14.25" customHeight="1">
      <c r="A33" s="4">
        <v>9.1</v>
      </c>
    </row>
    <row r="34" ht="14.25" customHeight="1">
      <c r="A34" s="2">
        <v>9.2</v>
      </c>
    </row>
    <row r="35" ht="14.25" customHeight="1">
      <c r="A35" s="4">
        <v>9.8</v>
      </c>
    </row>
    <row r="36" ht="14.25" customHeight="1">
      <c r="A36" s="2">
        <v>9.3</v>
      </c>
    </row>
    <row r="37" ht="14.25" customHeight="1">
      <c r="A37" s="4">
        <v>9.7</v>
      </c>
    </row>
    <row r="38" ht="14.25" customHeight="1">
      <c r="A38" s="2">
        <v>9.3</v>
      </c>
    </row>
    <row r="39" ht="14.25" customHeight="1">
      <c r="A39" s="4">
        <v>9.8</v>
      </c>
    </row>
    <row r="40" ht="14.25" customHeight="1">
      <c r="A40" s="2">
        <v>9.1</v>
      </c>
    </row>
    <row r="41" ht="14.25" customHeight="1">
      <c r="A41" s="4">
        <v>9.7</v>
      </c>
    </row>
    <row r="42" ht="14.25" customHeight="1">
      <c r="A42" s="2">
        <v>9.5</v>
      </c>
    </row>
    <row r="43" ht="14.25" customHeight="1">
      <c r="A43" s="4">
        <v>9.3</v>
      </c>
    </row>
    <row r="44" ht="14.25" customHeight="1">
      <c r="A44" s="2">
        <v>9.9</v>
      </c>
    </row>
    <row r="45" ht="14.25" customHeight="1">
      <c r="A45" s="4">
        <v>8.7</v>
      </c>
    </row>
    <row r="46" ht="14.25" customHeight="1">
      <c r="A46" s="2">
        <v>8.1</v>
      </c>
    </row>
    <row r="47" ht="14.25" customHeight="1">
      <c r="A47" s="4">
        <v>9.2</v>
      </c>
    </row>
    <row r="48" ht="14.25" customHeight="1">
      <c r="A48" s="2">
        <v>8.9</v>
      </c>
    </row>
    <row r="49" ht="14.25" customHeight="1">
      <c r="A49" s="4">
        <v>8.9</v>
      </c>
    </row>
    <row r="50" ht="14.25" customHeight="1">
      <c r="A50" s="2">
        <v>8.0</v>
      </c>
    </row>
    <row r="51" ht="14.25" customHeight="1">
      <c r="A51" s="4">
        <v>8.7</v>
      </c>
    </row>
    <row r="52" ht="14.25" customHeight="1">
      <c r="A52" s="2">
        <v>9.8</v>
      </c>
    </row>
    <row r="53" ht="14.25" customHeight="1">
      <c r="A53" s="4">
        <v>8.6</v>
      </c>
    </row>
    <row r="54" ht="14.25" customHeight="1">
      <c r="A54" s="2">
        <v>9.3</v>
      </c>
    </row>
    <row r="55" ht="14.25" customHeight="1">
      <c r="A55" s="4">
        <v>9.8</v>
      </c>
    </row>
    <row r="56" ht="14.25" customHeight="1">
      <c r="A56" s="2">
        <v>7.2</v>
      </c>
    </row>
    <row r="57" ht="14.25" customHeight="1">
      <c r="A57" s="4">
        <v>9.1</v>
      </c>
    </row>
    <row r="58" ht="14.25" customHeight="1">
      <c r="A58" s="2">
        <v>9.0</v>
      </c>
    </row>
    <row r="59" ht="14.25" customHeight="1">
      <c r="A59" s="4">
        <v>8.3</v>
      </c>
    </row>
    <row r="60" ht="14.25" customHeight="1">
      <c r="A60" s="2">
        <v>8.8</v>
      </c>
    </row>
    <row r="61" ht="14.25" customHeight="1">
      <c r="A61" s="4">
        <v>8.7</v>
      </c>
    </row>
    <row r="62" ht="14.25" customHeight="1">
      <c r="A62" s="2">
        <v>8.2</v>
      </c>
    </row>
    <row r="63" ht="14.25" customHeight="1">
      <c r="A63" s="4">
        <v>8.2</v>
      </c>
    </row>
    <row r="64" ht="14.25" customHeight="1">
      <c r="A64" s="2">
        <v>8.5</v>
      </c>
    </row>
    <row r="65" ht="14.25" customHeight="1">
      <c r="A65" s="4">
        <v>8.4</v>
      </c>
    </row>
    <row r="66" ht="14.25" customHeight="1">
      <c r="A66" s="2">
        <v>8.5</v>
      </c>
    </row>
    <row r="67" ht="14.25" customHeight="1">
      <c r="A67" s="4">
        <v>9.1</v>
      </c>
    </row>
    <row r="68" ht="14.25" customHeight="1">
      <c r="A68" s="2">
        <v>9.0</v>
      </c>
    </row>
    <row r="69" ht="14.25" customHeight="1">
      <c r="A69" s="4">
        <v>8.7</v>
      </c>
    </row>
    <row r="70" ht="14.25" customHeight="1">
      <c r="A70" s="2">
        <v>9.2</v>
      </c>
    </row>
    <row r="71" ht="14.25" customHeight="1">
      <c r="A71" s="4">
        <v>9.1</v>
      </c>
    </row>
    <row r="72" ht="14.25" customHeight="1">
      <c r="A72" s="2">
        <v>8.4</v>
      </c>
    </row>
    <row r="73" ht="14.25" customHeight="1">
      <c r="A73" s="4">
        <v>7.6</v>
      </c>
    </row>
    <row r="74" ht="14.25" customHeight="1">
      <c r="A74" s="2">
        <v>7.9</v>
      </c>
    </row>
    <row r="75" ht="14.25" customHeight="1">
      <c r="A75" s="4">
        <v>6.8</v>
      </c>
    </row>
    <row r="76" ht="14.25" customHeight="1">
      <c r="A76" s="2">
        <v>9.0</v>
      </c>
    </row>
    <row r="77" ht="14.25" customHeight="1">
      <c r="A77" s="4">
        <v>7.9</v>
      </c>
    </row>
    <row r="78" ht="14.25" customHeight="1">
      <c r="A78" s="2">
        <v>9.5</v>
      </c>
    </row>
    <row r="79" ht="14.25" customHeight="1">
      <c r="A79" s="4">
        <v>8.6</v>
      </c>
    </row>
    <row r="80" ht="14.25" customHeight="1">
      <c r="A80" s="2">
        <v>9.2</v>
      </c>
    </row>
    <row r="81" ht="14.25" customHeight="1">
      <c r="A81" s="4">
        <v>8.7</v>
      </c>
    </row>
    <row r="82" ht="14.25" customHeight="1">
      <c r="A82" s="2">
        <v>8.9</v>
      </c>
    </row>
    <row r="83" ht="14.25" customHeight="1">
      <c r="A83" s="4">
        <v>9.0</v>
      </c>
    </row>
    <row r="84" ht="14.25" customHeight="1">
      <c r="A84" s="2">
        <v>8.9</v>
      </c>
    </row>
    <row r="85" ht="14.25" customHeight="1">
      <c r="A85" s="4">
        <v>7.8</v>
      </c>
    </row>
    <row r="86" ht="14.25" customHeight="1">
      <c r="A86" s="2">
        <v>7.0</v>
      </c>
    </row>
    <row r="87" ht="14.25" customHeight="1">
      <c r="A87" s="4">
        <v>9.1</v>
      </c>
    </row>
    <row r="88" ht="14.25" customHeight="1">
      <c r="A88" s="2">
        <v>9.2</v>
      </c>
    </row>
    <row r="89" ht="14.25" customHeight="1">
      <c r="A89" s="4">
        <v>9.1</v>
      </c>
    </row>
    <row r="90" ht="14.25" customHeight="1">
      <c r="A90" s="2">
        <v>9.2</v>
      </c>
    </row>
    <row r="91" ht="14.25" customHeight="1">
      <c r="A91" s="4">
        <v>8.5</v>
      </c>
    </row>
    <row r="92" ht="14.25" customHeight="1">
      <c r="A92" s="2">
        <v>8.5</v>
      </c>
    </row>
    <row r="93" ht="14.25" customHeight="1">
      <c r="A93" s="4">
        <v>8.7</v>
      </c>
    </row>
    <row r="94" ht="14.25" customHeight="1">
      <c r="A94" s="2">
        <v>9.1</v>
      </c>
    </row>
    <row r="95" ht="14.25" customHeight="1">
      <c r="A95" s="4">
        <v>7.8</v>
      </c>
    </row>
    <row r="96" ht="14.25" customHeight="1">
      <c r="A96" s="2">
        <v>8.5</v>
      </c>
    </row>
    <row r="97" ht="14.25" customHeight="1">
      <c r="A97" s="4">
        <v>9.3</v>
      </c>
    </row>
    <row r="98" ht="14.25" customHeight="1">
      <c r="A98" s="2">
        <v>8.7</v>
      </c>
    </row>
    <row r="99" ht="14.25" customHeight="1">
      <c r="A99" s="4">
        <v>8.5</v>
      </c>
    </row>
    <row r="100" ht="14.25" customHeight="1">
      <c r="A100" s="2">
        <v>8.8</v>
      </c>
    </row>
    <row r="101" ht="14.25" customHeight="1">
      <c r="A101" s="4">
        <v>8.0</v>
      </c>
    </row>
    <row r="102" ht="14.25" customHeight="1">
      <c r="A102" s="2">
        <v>8.4</v>
      </c>
    </row>
    <row r="103" ht="14.25" customHeight="1">
      <c r="A103" s="4">
        <v>8.5</v>
      </c>
    </row>
    <row r="104" ht="14.25" customHeight="1">
      <c r="A104" s="2">
        <v>8.6</v>
      </c>
    </row>
    <row r="105" ht="14.25" customHeight="1">
      <c r="A105" s="4">
        <v>7.2</v>
      </c>
    </row>
    <row r="106" ht="14.25" customHeight="1">
      <c r="A106" s="2">
        <v>8.9</v>
      </c>
    </row>
    <row r="107" ht="14.25" customHeight="1">
      <c r="A107" s="4">
        <v>7.8</v>
      </c>
    </row>
    <row r="108" ht="14.25" customHeight="1">
      <c r="A108" s="2">
        <v>7.9</v>
      </c>
    </row>
    <row r="109" ht="14.25" customHeight="1">
      <c r="A109" s="4">
        <v>9.0</v>
      </c>
    </row>
    <row r="110" ht="14.25" customHeight="1">
      <c r="A110" s="2">
        <v>9.4</v>
      </c>
    </row>
    <row r="111" ht="14.25" customHeight="1">
      <c r="A111" s="4">
        <v>8.9</v>
      </c>
    </row>
    <row r="112" ht="14.25" customHeight="1">
      <c r="A112" s="2">
        <v>7.8</v>
      </c>
    </row>
    <row r="113" ht="14.25" customHeight="1">
      <c r="A113" s="4">
        <v>7.8</v>
      </c>
    </row>
    <row r="114" ht="14.25" customHeight="1">
      <c r="A114" s="2">
        <v>6.9</v>
      </c>
    </row>
    <row r="115" ht="14.25" customHeight="1">
      <c r="A115" s="4">
        <v>7.9</v>
      </c>
    </row>
    <row r="116" ht="14.25" customHeight="1">
      <c r="A116" s="2">
        <v>7.3</v>
      </c>
    </row>
    <row r="117" ht="14.25" customHeight="1">
      <c r="A117" s="4">
        <v>8.2</v>
      </c>
    </row>
    <row r="118" ht="14.25" customHeight="1">
      <c r="A118" s="2">
        <v>9.7</v>
      </c>
    </row>
    <row r="119" ht="14.25" customHeight="1">
      <c r="A119" s="4">
        <v>8.3</v>
      </c>
    </row>
    <row r="120" ht="14.25" customHeight="1">
      <c r="A120" s="2">
        <v>9.0</v>
      </c>
    </row>
    <row r="121" ht="14.25" customHeight="1">
      <c r="A121" s="4">
        <v>9.1</v>
      </c>
    </row>
    <row r="122" ht="14.25" customHeight="1">
      <c r="A122" s="2">
        <v>8.8</v>
      </c>
    </row>
    <row r="123" ht="14.25" customHeight="1">
      <c r="A123" s="4">
        <v>9.2</v>
      </c>
    </row>
    <row r="124" ht="14.25" customHeight="1">
      <c r="A124" s="2">
        <v>9.3</v>
      </c>
    </row>
    <row r="125" ht="14.25" customHeight="1">
      <c r="A125" s="4">
        <v>9.7</v>
      </c>
    </row>
    <row r="126" ht="14.25" customHeight="1">
      <c r="A126" s="2">
        <v>8.5</v>
      </c>
    </row>
    <row r="127" ht="14.25" customHeight="1">
      <c r="A127" s="4">
        <v>9.2</v>
      </c>
    </row>
    <row r="128" ht="14.25" customHeight="1">
      <c r="A128" s="2">
        <v>8.5</v>
      </c>
    </row>
    <row r="129" ht="14.25" customHeight="1">
      <c r="A129" s="4">
        <v>7.8</v>
      </c>
    </row>
    <row r="130" ht="14.25" customHeight="1">
      <c r="A130" s="2">
        <v>9.2</v>
      </c>
    </row>
    <row r="131" ht="14.25" customHeight="1">
      <c r="A131" s="4">
        <v>8.9</v>
      </c>
    </row>
    <row r="132" ht="14.25" customHeight="1">
      <c r="A132" s="2">
        <v>8.3</v>
      </c>
    </row>
    <row r="133" ht="14.25" customHeight="1">
      <c r="A133" s="4">
        <v>9.1</v>
      </c>
    </row>
    <row r="134" ht="14.25" customHeight="1">
      <c r="A134" s="2">
        <v>8.5</v>
      </c>
    </row>
    <row r="135" ht="14.25" customHeight="1">
      <c r="A135" s="4">
        <v>8.8</v>
      </c>
    </row>
    <row r="136" ht="14.25" customHeight="1">
      <c r="A136" s="2">
        <v>9.4</v>
      </c>
    </row>
    <row r="137" ht="14.25" customHeight="1">
      <c r="A137" s="4">
        <v>7.8</v>
      </c>
    </row>
    <row r="138" ht="14.25" customHeight="1">
      <c r="A138" s="2">
        <v>9.3</v>
      </c>
    </row>
    <row r="139" ht="14.25" customHeight="1">
      <c r="A139" s="4">
        <v>8.2</v>
      </c>
    </row>
    <row r="140" ht="14.25" customHeight="1">
      <c r="A140" s="2">
        <v>9.6</v>
      </c>
    </row>
    <row r="141" ht="14.25" customHeight="1">
      <c r="A141" s="4">
        <v>9.2</v>
      </c>
    </row>
    <row r="142" ht="14.25" customHeight="1">
      <c r="A142" s="2">
        <v>9.1</v>
      </c>
    </row>
    <row r="143" ht="14.25" customHeight="1">
      <c r="A143" s="4">
        <v>8.7</v>
      </c>
    </row>
    <row r="144" ht="14.25" customHeight="1">
      <c r="A144" s="2">
        <v>8.6</v>
      </c>
    </row>
    <row r="145" ht="14.25" customHeight="1">
      <c r="A145" s="4">
        <v>8.5</v>
      </c>
    </row>
    <row r="146" ht="14.25" customHeight="1">
      <c r="A146" s="2">
        <v>9.2</v>
      </c>
    </row>
    <row r="147" ht="14.25" customHeight="1">
      <c r="A147" s="4">
        <v>9.2</v>
      </c>
    </row>
    <row r="148" ht="14.25" customHeight="1">
      <c r="A148" s="2">
        <v>8.2</v>
      </c>
    </row>
    <row r="149" ht="14.25" customHeight="1">
      <c r="A149" s="4">
        <v>8.9</v>
      </c>
    </row>
    <row r="150" ht="14.25" customHeight="1">
      <c r="A150" s="2">
        <v>8.5</v>
      </c>
    </row>
    <row r="151" ht="14.25" customHeight="1">
      <c r="A151" s="4">
        <v>9.8</v>
      </c>
    </row>
    <row r="152" ht="14.25" customHeight="1">
      <c r="A152" s="2">
        <v>8.6</v>
      </c>
    </row>
    <row r="153" ht="14.25" customHeight="1">
      <c r="A153" s="4">
        <v>9.3</v>
      </c>
    </row>
    <row r="154" ht="14.25" customHeight="1">
      <c r="A154" s="2">
        <v>8.1</v>
      </c>
    </row>
    <row r="155" ht="14.25" customHeight="1">
      <c r="A155" s="4">
        <v>9.1</v>
      </c>
    </row>
    <row r="156" ht="14.25" customHeight="1">
      <c r="A156" s="2">
        <v>8.7</v>
      </c>
    </row>
    <row r="157" ht="14.25" customHeight="1">
      <c r="A157" s="4">
        <v>9.2</v>
      </c>
    </row>
    <row r="158" ht="14.25" customHeight="1">
      <c r="A158" s="2">
        <v>8.2</v>
      </c>
    </row>
    <row r="159" ht="14.25" customHeight="1">
      <c r="A159" s="4">
        <v>8.8</v>
      </c>
    </row>
    <row r="160" ht="14.25" customHeight="1">
      <c r="A160" s="2">
        <v>8.0</v>
      </c>
    </row>
    <row r="161" ht="14.25" customHeight="1">
      <c r="A161" s="4">
        <v>8.8</v>
      </c>
    </row>
    <row r="162" ht="14.25" customHeight="1">
      <c r="A162" s="2">
        <v>7.2</v>
      </c>
    </row>
    <row r="163" ht="14.25" customHeight="1">
      <c r="A163" s="4">
        <v>9.2</v>
      </c>
    </row>
    <row r="164" ht="14.25" customHeight="1">
      <c r="A164" s="2">
        <v>8.5</v>
      </c>
    </row>
    <row r="165" ht="14.25" customHeight="1">
      <c r="A165" s="4">
        <v>8.4</v>
      </c>
    </row>
    <row r="166" ht="14.25" customHeight="1">
      <c r="A166" s="2">
        <v>8.7</v>
      </c>
    </row>
    <row r="167" ht="14.25" customHeight="1">
      <c r="A167" s="4">
        <v>9.4</v>
      </c>
    </row>
    <row r="168" ht="14.25" customHeight="1">
      <c r="A168" s="2">
        <v>9.2</v>
      </c>
    </row>
    <row r="169" ht="14.25" customHeight="1">
      <c r="A169" s="4">
        <v>8.6</v>
      </c>
    </row>
    <row r="170" ht="14.25" customHeight="1">
      <c r="A170" s="2">
        <v>8.9</v>
      </c>
    </row>
    <row r="171" ht="14.25" customHeight="1">
      <c r="A171" s="4">
        <v>9.4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6" width="10.63"/>
  </cols>
  <sheetData>
    <row r="1" ht="14.25" customHeight="1">
      <c r="A1" s="9" t="s">
        <v>30</v>
      </c>
    </row>
    <row r="2" ht="14.25" customHeight="1">
      <c r="A2" s="10">
        <v>90.0</v>
      </c>
      <c r="D2" s="3" t="s">
        <v>1</v>
      </c>
      <c r="E2" s="3">
        <f>+MIN(A2:A171)</f>
        <v>0</v>
      </c>
      <c r="F2" s="3" t="s">
        <v>2</v>
      </c>
      <c r="G2" s="3">
        <v>170.0</v>
      </c>
    </row>
    <row r="3" ht="14.25" customHeight="1">
      <c r="A3" s="10">
        <v>120.0</v>
      </c>
      <c r="D3" s="3" t="s">
        <v>3</v>
      </c>
      <c r="E3" s="3">
        <f>MAX(A2:A171)</f>
        <v>970</v>
      </c>
      <c r="F3" s="3" t="s">
        <v>4</v>
      </c>
      <c r="G3" s="3">
        <f>ROUND(SQRT(G2),0)</f>
        <v>13</v>
      </c>
    </row>
    <row r="4" ht="14.25" customHeight="1">
      <c r="A4" s="10">
        <v>180.0</v>
      </c>
      <c r="D4" s="3" t="s">
        <v>5</v>
      </c>
      <c r="E4" s="3">
        <f>(E3-E2)</f>
        <v>970</v>
      </c>
      <c r="F4" s="3" t="s">
        <v>6</v>
      </c>
      <c r="G4" s="3">
        <f>ROUND(E4/G3,2)</f>
        <v>74.62</v>
      </c>
    </row>
    <row r="5" ht="14.25" customHeight="1">
      <c r="A5" s="10">
        <v>120.0</v>
      </c>
    </row>
    <row r="6" ht="14.25" customHeight="1">
      <c r="A6" s="10">
        <v>30.0</v>
      </c>
      <c r="D6" s="3" t="s">
        <v>7</v>
      </c>
      <c r="E6" s="3" t="s">
        <v>8</v>
      </c>
      <c r="F6" s="3" t="s">
        <v>9</v>
      </c>
      <c r="G6" s="5" t="s">
        <v>10</v>
      </c>
      <c r="H6" s="3" t="s">
        <v>11</v>
      </c>
      <c r="I6" s="5" t="s">
        <v>12</v>
      </c>
      <c r="J6" s="3" t="s">
        <v>13</v>
      </c>
      <c r="K6" s="5" t="s">
        <v>14</v>
      </c>
      <c r="L6" s="6" t="s">
        <v>15</v>
      </c>
      <c r="M6" s="6" t="s">
        <v>31</v>
      </c>
    </row>
    <row r="7" ht="14.25" customHeight="1">
      <c r="A7" s="10">
        <v>190.0</v>
      </c>
      <c r="D7" s="3">
        <v>1.0</v>
      </c>
      <c r="E7" s="3">
        <f>+E2-0.5</f>
        <v>-0.5</v>
      </c>
      <c r="F7" s="3">
        <f>+E7+G4</f>
        <v>74.12</v>
      </c>
      <c r="G7" s="3">
        <f t="shared" ref="G7:G19" si="2">+ROUND(AVERAGE(E7:F7),2)</f>
        <v>36.81</v>
      </c>
      <c r="H7" s="3">
        <f t="array" ref="H7:H19">+FREQUENCY(A2:A171,F7:F18)</f>
        <v>51</v>
      </c>
      <c r="I7" s="3">
        <f t="shared" ref="I7:I19" si="3">+ROUND(H7/$H$20,2)</f>
        <v>0.3</v>
      </c>
      <c r="J7" s="3">
        <f t="shared" ref="J7:K7" si="1">+H7</f>
        <v>51</v>
      </c>
      <c r="K7" s="3">
        <f t="shared" si="1"/>
        <v>0.3</v>
      </c>
      <c r="L7" s="3">
        <f t="shared" ref="L7:L19" si="5">G7*I7</f>
        <v>11.043</v>
      </c>
      <c r="M7" s="3">
        <f t="shared" ref="M7:M19" si="6">H7*(G7-$L$20)^2</f>
        <v>1030481.201</v>
      </c>
    </row>
    <row r="8" ht="14.25" customHeight="1">
      <c r="A8" s="10">
        <v>69.0</v>
      </c>
      <c r="D8" s="3">
        <v>2.0</v>
      </c>
      <c r="E8" s="3">
        <f t="shared" ref="E8:E19" si="7">+F7</f>
        <v>74.12</v>
      </c>
      <c r="F8" s="3">
        <f t="shared" ref="F8:F19" si="8">+E8+$G$4</f>
        <v>148.74</v>
      </c>
      <c r="G8" s="3">
        <f t="shared" si="2"/>
        <v>111.43</v>
      </c>
      <c r="H8" s="3">
        <v>63.0</v>
      </c>
      <c r="I8" s="3">
        <f t="shared" si="3"/>
        <v>0.37</v>
      </c>
      <c r="J8" s="3">
        <f t="shared" ref="J8:K8" si="4">+J7+H8</f>
        <v>114</v>
      </c>
      <c r="K8" s="3">
        <f t="shared" si="4"/>
        <v>0.67</v>
      </c>
      <c r="L8" s="3">
        <f t="shared" si="5"/>
        <v>41.2291</v>
      </c>
      <c r="M8" s="3">
        <f t="shared" si="6"/>
        <v>287265.7734</v>
      </c>
    </row>
    <row r="9" ht="14.25" customHeight="1">
      <c r="A9" s="10">
        <v>240.0</v>
      </c>
      <c r="D9" s="3">
        <v>3.0</v>
      </c>
      <c r="E9" s="3">
        <f t="shared" si="7"/>
        <v>148.74</v>
      </c>
      <c r="F9" s="3">
        <f t="shared" si="8"/>
        <v>223.36</v>
      </c>
      <c r="G9" s="3">
        <f t="shared" si="2"/>
        <v>186.05</v>
      </c>
      <c r="H9" s="3">
        <v>19.0</v>
      </c>
      <c r="I9" s="3">
        <f t="shared" si="3"/>
        <v>0.11</v>
      </c>
      <c r="J9" s="3">
        <f t="shared" ref="J9:K9" si="9">+J8+H9</f>
        <v>133</v>
      </c>
      <c r="K9" s="3">
        <f t="shared" si="9"/>
        <v>0.78</v>
      </c>
      <c r="L9" s="3">
        <f t="shared" si="5"/>
        <v>20.4655</v>
      </c>
      <c r="M9" s="3">
        <f t="shared" si="6"/>
        <v>956.144927</v>
      </c>
    </row>
    <row r="10" ht="14.25" customHeight="1">
      <c r="A10" s="10">
        <v>120.0</v>
      </c>
      <c r="D10" s="3">
        <v>4.0</v>
      </c>
      <c r="E10" s="3">
        <f t="shared" si="7"/>
        <v>223.36</v>
      </c>
      <c r="F10" s="3">
        <f t="shared" si="8"/>
        <v>297.98</v>
      </c>
      <c r="G10" s="3">
        <f t="shared" si="2"/>
        <v>260.67</v>
      </c>
      <c r="H10" s="3">
        <v>5.0</v>
      </c>
      <c r="I10" s="3">
        <f t="shared" si="3"/>
        <v>0.03</v>
      </c>
      <c r="J10" s="3">
        <f t="shared" ref="J10:K10" si="10">+J9+H10</f>
        <v>138</v>
      </c>
      <c r="K10" s="3">
        <f t="shared" si="10"/>
        <v>0.81</v>
      </c>
      <c r="L10" s="3">
        <f t="shared" si="5"/>
        <v>7.8201</v>
      </c>
      <c r="M10" s="3">
        <f t="shared" si="6"/>
        <v>33385.80727</v>
      </c>
    </row>
    <row r="11" ht="14.25" customHeight="1">
      <c r="A11" s="10">
        <v>180.0</v>
      </c>
      <c r="D11" s="3">
        <v>5.0</v>
      </c>
      <c r="E11" s="3">
        <f t="shared" si="7"/>
        <v>297.98</v>
      </c>
      <c r="F11" s="3">
        <f t="shared" si="8"/>
        <v>372.6</v>
      </c>
      <c r="G11" s="3">
        <f t="shared" si="2"/>
        <v>335.29</v>
      </c>
      <c r="H11" s="3">
        <v>13.0</v>
      </c>
      <c r="I11" s="3">
        <f t="shared" si="3"/>
        <v>0.08</v>
      </c>
      <c r="J11" s="3">
        <f t="shared" ref="J11:K11" si="11">+J10+H11</f>
        <v>151</v>
      </c>
      <c r="K11" s="3">
        <f t="shared" si="11"/>
        <v>0.89</v>
      </c>
      <c r="L11" s="3">
        <f t="shared" si="5"/>
        <v>26.8232</v>
      </c>
      <c r="M11" s="3">
        <f t="shared" si="6"/>
        <v>317723.7478</v>
      </c>
    </row>
    <row r="12" ht="14.25" customHeight="1">
      <c r="A12" s="10">
        <v>120.0</v>
      </c>
      <c r="D12" s="3">
        <v>6.0</v>
      </c>
      <c r="E12" s="3">
        <f t="shared" si="7"/>
        <v>372.6</v>
      </c>
      <c r="F12" s="3">
        <f t="shared" si="8"/>
        <v>447.22</v>
      </c>
      <c r="G12" s="3">
        <f t="shared" si="2"/>
        <v>409.91</v>
      </c>
      <c r="H12" s="3">
        <v>5.0</v>
      </c>
      <c r="I12" s="3">
        <f t="shared" si="3"/>
        <v>0.03</v>
      </c>
      <c r="J12" s="3">
        <f t="shared" ref="J12:K12" si="12">+J11+H12</f>
        <v>156</v>
      </c>
      <c r="K12" s="3">
        <f t="shared" si="12"/>
        <v>0.92</v>
      </c>
      <c r="L12" s="3">
        <f t="shared" si="5"/>
        <v>12.2973</v>
      </c>
      <c r="M12" s="3">
        <f t="shared" si="6"/>
        <v>266698.5196</v>
      </c>
      <c r="O12" s="6" t="s">
        <v>18</v>
      </c>
      <c r="R12" s="6" t="s">
        <v>19</v>
      </c>
    </row>
    <row r="13" ht="14.25" customHeight="1">
      <c r="A13" s="10">
        <v>120.0</v>
      </c>
      <c r="D13" s="3">
        <v>7.0</v>
      </c>
      <c r="E13" s="3">
        <f t="shared" si="7"/>
        <v>447.22</v>
      </c>
      <c r="F13" s="3">
        <f t="shared" si="8"/>
        <v>521.84</v>
      </c>
      <c r="G13" s="3">
        <f t="shared" si="2"/>
        <v>484.53</v>
      </c>
      <c r="H13" s="3">
        <v>6.0</v>
      </c>
      <c r="I13" s="3">
        <f t="shared" si="3"/>
        <v>0.04</v>
      </c>
      <c r="J13" s="3">
        <f t="shared" ref="J13:K13" si="13">+J12+H13</f>
        <v>162</v>
      </c>
      <c r="K13" s="3">
        <f t="shared" si="13"/>
        <v>0.96</v>
      </c>
      <c r="L13" s="3">
        <f t="shared" si="5"/>
        <v>19.3812</v>
      </c>
      <c r="M13" s="3">
        <f t="shared" si="6"/>
        <v>560252.4502</v>
      </c>
    </row>
    <row r="14" ht="14.25" customHeight="1">
      <c r="A14" s="10">
        <v>60.0</v>
      </c>
      <c r="D14" s="3">
        <v>8.0</v>
      </c>
      <c r="E14" s="3">
        <f t="shared" si="7"/>
        <v>521.84</v>
      </c>
      <c r="F14" s="3">
        <f t="shared" si="8"/>
        <v>596.46</v>
      </c>
      <c r="G14" s="3">
        <f t="shared" si="2"/>
        <v>559.15</v>
      </c>
      <c r="H14" s="3">
        <v>0.0</v>
      </c>
      <c r="I14" s="3">
        <f t="shared" si="3"/>
        <v>0</v>
      </c>
      <c r="J14" s="3">
        <f t="shared" ref="J14:K14" si="14">+J13+H14</f>
        <v>162</v>
      </c>
      <c r="K14" s="3">
        <f t="shared" si="14"/>
        <v>0.96</v>
      </c>
      <c r="L14" s="3">
        <f t="shared" si="5"/>
        <v>0</v>
      </c>
      <c r="M14" s="3">
        <f t="shared" si="6"/>
        <v>0</v>
      </c>
      <c r="O14" s="6" t="s">
        <v>20</v>
      </c>
      <c r="P14" s="3">
        <f>AVERAGE(A2:A171)</f>
        <v>172.7588235</v>
      </c>
      <c r="R14" s="6" t="s">
        <v>20</v>
      </c>
      <c r="S14" s="3">
        <f>SUM(L7:L19)</f>
        <v>178.9561</v>
      </c>
    </row>
    <row r="15" ht="14.25" customHeight="1">
      <c r="A15" s="10">
        <v>10.0</v>
      </c>
      <c r="D15" s="3">
        <v>9.0</v>
      </c>
      <c r="E15" s="3">
        <f t="shared" si="7"/>
        <v>596.46</v>
      </c>
      <c r="F15" s="3">
        <f t="shared" si="8"/>
        <v>671.08</v>
      </c>
      <c r="G15" s="3">
        <f t="shared" si="2"/>
        <v>633.77</v>
      </c>
      <c r="H15" s="3">
        <v>1.0</v>
      </c>
      <c r="I15" s="3">
        <f t="shared" si="3"/>
        <v>0.01</v>
      </c>
      <c r="J15" s="3">
        <f t="shared" ref="J15:K15" si="15">+J14+H15</f>
        <v>163</v>
      </c>
      <c r="K15" s="3">
        <f t="shared" si="15"/>
        <v>0.97</v>
      </c>
      <c r="L15" s="3">
        <f t="shared" si="5"/>
        <v>6.3377</v>
      </c>
      <c r="M15" s="3">
        <f t="shared" si="6"/>
        <v>206855.6836</v>
      </c>
      <c r="O15" s="6" t="s">
        <v>21</v>
      </c>
      <c r="P15" s="3">
        <f>MEDIAN(A2:A171)</f>
        <v>120</v>
      </c>
      <c r="R15" s="6" t="s">
        <v>21</v>
      </c>
      <c r="S15" s="3">
        <f>E8+(170/2-J7)/H8*G4</f>
        <v>114.3911111</v>
      </c>
    </row>
    <row r="16" ht="14.25" customHeight="1">
      <c r="A16" s="10">
        <v>200.0</v>
      </c>
      <c r="D16" s="3">
        <v>10.0</v>
      </c>
      <c r="E16" s="3">
        <f t="shared" si="7"/>
        <v>671.08</v>
      </c>
      <c r="F16" s="3">
        <f t="shared" si="8"/>
        <v>745.7</v>
      </c>
      <c r="G16" s="3">
        <f t="shared" si="2"/>
        <v>708.39</v>
      </c>
      <c r="H16" s="3">
        <v>2.0</v>
      </c>
      <c r="I16" s="3">
        <f t="shared" si="3"/>
        <v>0.01</v>
      </c>
      <c r="J16" s="3">
        <f t="shared" ref="J16:K16" si="16">+J15+H16</f>
        <v>165</v>
      </c>
      <c r="K16" s="3">
        <f t="shared" si="16"/>
        <v>0.98</v>
      </c>
      <c r="L16" s="3">
        <f t="shared" si="5"/>
        <v>7.0839</v>
      </c>
      <c r="M16" s="3">
        <f t="shared" si="6"/>
        <v>560600.5089</v>
      </c>
      <c r="O16" s="6" t="s">
        <v>22</v>
      </c>
      <c r="P16" s="3">
        <f>MODE(A2:A171)</f>
        <v>120</v>
      </c>
      <c r="R16" s="6" t="s">
        <v>22</v>
      </c>
      <c r="S16" s="3">
        <f>E8+((H8-H7)/((H8-H7)+(H8-H9)))*G4</f>
        <v>90.11</v>
      </c>
    </row>
    <row r="17" ht="14.25" customHeight="1">
      <c r="A17" s="10">
        <v>30.0</v>
      </c>
      <c r="D17" s="3">
        <v>11.0</v>
      </c>
      <c r="E17" s="3">
        <f t="shared" si="7"/>
        <v>745.7</v>
      </c>
      <c r="F17" s="3">
        <f t="shared" si="8"/>
        <v>820.32</v>
      </c>
      <c r="G17" s="3">
        <f t="shared" si="2"/>
        <v>783.01</v>
      </c>
      <c r="H17" s="3">
        <v>2.0</v>
      </c>
      <c r="I17" s="3">
        <f t="shared" si="3"/>
        <v>0.01</v>
      </c>
      <c r="J17" s="3">
        <f t="shared" ref="J17:K17" si="17">+J16+H17</f>
        <v>167</v>
      </c>
      <c r="K17" s="3">
        <f t="shared" si="17"/>
        <v>0.99</v>
      </c>
      <c r="L17" s="3">
        <f t="shared" si="5"/>
        <v>7.8301</v>
      </c>
      <c r="M17" s="3">
        <f t="shared" si="6"/>
        <v>729762.2282</v>
      </c>
      <c r="O17" s="6" t="s">
        <v>23</v>
      </c>
      <c r="P17" s="3">
        <f>_xlfn.VAR.S(A2:A171)</f>
        <v>32363.35569</v>
      </c>
      <c r="R17" s="6" t="s">
        <v>23</v>
      </c>
      <c r="S17" s="3">
        <f>M20/169</f>
        <v>33706.13707</v>
      </c>
    </row>
    <row r="18" ht="14.25" customHeight="1">
      <c r="A18" s="10">
        <v>120.0</v>
      </c>
      <c r="D18" s="3">
        <v>12.0</v>
      </c>
      <c r="E18" s="3">
        <f t="shared" si="7"/>
        <v>820.32</v>
      </c>
      <c r="F18" s="3">
        <f t="shared" si="8"/>
        <v>894.94</v>
      </c>
      <c r="G18" s="3">
        <f t="shared" si="2"/>
        <v>857.63</v>
      </c>
      <c r="H18" s="3">
        <v>0.0</v>
      </c>
      <c r="I18" s="3">
        <f t="shared" si="3"/>
        <v>0</v>
      </c>
      <c r="J18" s="3">
        <f t="shared" ref="J18:K18" si="18">+J17+H18</f>
        <v>167</v>
      </c>
      <c r="K18" s="3">
        <f t="shared" si="18"/>
        <v>0.99</v>
      </c>
      <c r="L18" s="3">
        <f t="shared" si="5"/>
        <v>0</v>
      </c>
      <c r="M18" s="3">
        <f t="shared" si="6"/>
        <v>0</v>
      </c>
      <c r="O18" s="6" t="s">
        <v>24</v>
      </c>
      <c r="P18" s="3">
        <f>_xlfn.STDEV.S(A2:A171)</f>
        <v>179.8981815</v>
      </c>
      <c r="R18" s="6" t="s">
        <v>24</v>
      </c>
      <c r="S18" s="3">
        <f>SQRT(S17)</f>
        <v>183.5923121</v>
      </c>
    </row>
    <row r="19" ht="14.25" customHeight="1">
      <c r="A19" s="10">
        <v>100.0</v>
      </c>
      <c r="D19" s="3">
        <v>13.0</v>
      </c>
      <c r="E19" s="3">
        <f t="shared" si="7"/>
        <v>894.94</v>
      </c>
      <c r="F19" s="3">
        <f t="shared" si="8"/>
        <v>969.56</v>
      </c>
      <c r="G19" s="3">
        <f t="shared" si="2"/>
        <v>932.25</v>
      </c>
      <c r="H19" s="3">
        <v>3.0</v>
      </c>
      <c r="I19" s="3">
        <f t="shared" si="3"/>
        <v>0.02</v>
      </c>
      <c r="J19" s="3">
        <f t="shared" ref="J19:K19" si="19">+J18+H19</f>
        <v>170</v>
      </c>
      <c r="K19" s="3">
        <f t="shared" si="19"/>
        <v>1.01</v>
      </c>
      <c r="L19" s="3">
        <f t="shared" si="5"/>
        <v>18.645</v>
      </c>
      <c r="M19" s="3">
        <f t="shared" si="6"/>
        <v>1702355.099</v>
      </c>
    </row>
    <row r="20" ht="14.25" customHeight="1">
      <c r="A20" s="10">
        <v>120.0</v>
      </c>
      <c r="H20" s="3">
        <f>SUM(H7:H19)</f>
        <v>170</v>
      </c>
      <c r="I20" s="3">
        <f>ROUND(SUM(I7:I19),0)</f>
        <v>1</v>
      </c>
      <c r="L20" s="3">
        <f t="shared" ref="L20:M20" si="20">SUM(L7:L19)</f>
        <v>178.9561</v>
      </c>
      <c r="M20" s="3">
        <f t="shared" si="20"/>
        <v>5696337.164</v>
      </c>
      <c r="O20" s="6" t="s">
        <v>25</v>
      </c>
      <c r="P20" s="6">
        <f>PERCENTILE(A2:A171, 0.25)</f>
        <v>60</v>
      </c>
      <c r="R20" s="6" t="s">
        <v>25</v>
      </c>
      <c r="S20" s="3">
        <f>E7+(170/4-0)/H7*G4</f>
        <v>61.68333333</v>
      </c>
    </row>
    <row r="21" ht="14.25" customHeight="1">
      <c r="A21" s="10">
        <v>80.0</v>
      </c>
      <c r="O21" s="6" t="s">
        <v>26</v>
      </c>
      <c r="P21" s="6">
        <f>PERCENTILE(A2:A171, 0.75)</f>
        <v>180</v>
      </c>
      <c r="R21" s="6" t="s">
        <v>26</v>
      </c>
      <c r="S21" s="3">
        <f>E9+((127.5-J8)/H9)*G4</f>
        <v>201.7594737</v>
      </c>
    </row>
    <row r="22" ht="14.25" customHeight="1">
      <c r="A22" s="10">
        <v>120.0</v>
      </c>
      <c r="O22" s="6" t="s">
        <v>27</v>
      </c>
      <c r="P22" s="6">
        <f>PERCENTILE(A2:A171, 0.7)</f>
        <v>180</v>
      </c>
      <c r="R22" s="6" t="s">
        <v>27</v>
      </c>
      <c r="S22" s="3">
        <f>E9+(170*7/10-J8)/H9*G4</f>
        <v>168.3768421</v>
      </c>
    </row>
    <row r="23" ht="14.25" customHeight="1">
      <c r="A23" s="10">
        <v>120.0</v>
      </c>
      <c r="O23" s="6" t="s">
        <v>28</v>
      </c>
      <c r="P23" s="6">
        <f>PERCENTILE(A2:A171, 0.82)</f>
        <v>300</v>
      </c>
      <c r="R23" s="6" t="s">
        <v>28</v>
      </c>
      <c r="S23" s="3">
        <f>E11+(170*82/100-J10)/H11*G4</f>
        <v>306.016</v>
      </c>
    </row>
    <row r="24" ht="14.25" customHeight="1">
      <c r="A24" s="10">
        <v>720.0</v>
      </c>
    </row>
    <row r="25" ht="14.25" customHeight="1">
      <c r="A25" s="10">
        <v>120.0</v>
      </c>
    </row>
    <row r="26" ht="14.25" customHeight="1">
      <c r="A26" s="10">
        <v>90.0</v>
      </c>
    </row>
    <row r="27" ht="14.25" customHeight="1">
      <c r="A27" s="10">
        <v>120.0</v>
      </c>
    </row>
    <row r="28" ht="14.25" customHeight="1">
      <c r="A28" s="10">
        <v>0.0</v>
      </c>
    </row>
    <row r="29" ht="14.25" customHeight="1">
      <c r="A29" s="10">
        <v>180.0</v>
      </c>
    </row>
    <row r="30" ht="14.25" customHeight="1">
      <c r="A30" s="10">
        <v>90.0</v>
      </c>
    </row>
    <row r="31" ht="14.25" customHeight="1">
      <c r="A31" s="10">
        <v>40.0</v>
      </c>
    </row>
    <row r="32" ht="14.25" customHeight="1">
      <c r="A32" s="10">
        <v>45.0</v>
      </c>
    </row>
    <row r="33" ht="14.25" customHeight="1">
      <c r="A33" s="10">
        <v>45.0</v>
      </c>
    </row>
    <row r="34" ht="14.25" customHeight="1">
      <c r="A34" s="10">
        <v>40.0</v>
      </c>
    </row>
    <row r="35" ht="14.25" customHeight="1">
      <c r="A35" s="10">
        <v>180.0</v>
      </c>
    </row>
    <row r="36" ht="14.25" customHeight="1">
      <c r="A36" s="10">
        <v>90.0</v>
      </c>
    </row>
    <row r="37" ht="14.25" customHeight="1">
      <c r="A37" s="10">
        <v>120.0</v>
      </c>
    </row>
    <row r="38" ht="14.25" customHeight="1">
      <c r="A38" s="10">
        <v>60.0</v>
      </c>
    </row>
    <row r="39" ht="14.25" customHeight="1">
      <c r="A39" s="10">
        <v>45.0</v>
      </c>
    </row>
    <row r="40" ht="14.25" customHeight="1">
      <c r="A40" s="10">
        <v>120.0</v>
      </c>
    </row>
    <row r="41" ht="14.25" customHeight="1">
      <c r="A41" s="10">
        <v>60.0</v>
      </c>
    </row>
    <row r="42" ht="14.25" customHeight="1">
      <c r="A42" s="10">
        <v>60.0</v>
      </c>
    </row>
    <row r="43" ht="14.25" customHeight="1">
      <c r="A43" s="10">
        <v>300.0</v>
      </c>
    </row>
    <row r="44" ht="14.25" customHeight="1">
      <c r="A44" s="10">
        <v>120.0</v>
      </c>
    </row>
    <row r="45" ht="14.25" customHeight="1">
      <c r="A45" s="10">
        <v>480.0</v>
      </c>
    </row>
    <row r="46" ht="14.25" customHeight="1">
      <c r="A46" s="10">
        <v>320.0</v>
      </c>
    </row>
    <row r="47" ht="14.25" customHeight="1">
      <c r="A47" s="10">
        <v>60.0</v>
      </c>
    </row>
    <row r="48" ht="14.25" customHeight="1">
      <c r="A48" s="10">
        <v>600.0</v>
      </c>
    </row>
    <row r="49" ht="14.25" customHeight="1">
      <c r="A49" s="10">
        <v>120.0</v>
      </c>
    </row>
    <row r="50" ht="14.25" customHeight="1">
      <c r="A50" s="10">
        <v>120.0</v>
      </c>
    </row>
    <row r="51" ht="14.25" customHeight="1">
      <c r="A51" s="10">
        <v>60.0</v>
      </c>
    </row>
    <row r="52" ht="14.25" customHeight="1">
      <c r="A52" s="10">
        <v>30.0</v>
      </c>
    </row>
    <row r="53" ht="14.25" customHeight="1">
      <c r="A53" s="10">
        <v>0.0</v>
      </c>
    </row>
    <row r="54" ht="14.25" customHeight="1">
      <c r="A54" s="10">
        <v>300.0</v>
      </c>
    </row>
    <row r="55" ht="14.25" customHeight="1">
      <c r="A55" s="10">
        <v>400.0</v>
      </c>
    </row>
    <row r="56" ht="14.25" customHeight="1">
      <c r="A56" s="10">
        <v>60.0</v>
      </c>
    </row>
    <row r="57" ht="14.25" customHeight="1">
      <c r="A57" s="10">
        <v>160.0</v>
      </c>
    </row>
    <row r="58" ht="14.25" customHeight="1">
      <c r="A58" s="10">
        <v>180.0</v>
      </c>
    </row>
    <row r="59" ht="14.25" customHeight="1">
      <c r="A59" s="10">
        <v>120.0</v>
      </c>
    </row>
    <row r="60" ht="14.25" customHeight="1">
      <c r="A60" s="10">
        <v>120.0</v>
      </c>
    </row>
    <row r="61" ht="14.25" customHeight="1">
      <c r="A61" s="10">
        <v>150.0</v>
      </c>
    </row>
    <row r="62" ht="14.25" customHeight="1">
      <c r="A62" s="10">
        <v>360.0</v>
      </c>
    </row>
    <row r="63" ht="14.25" customHeight="1">
      <c r="A63" s="10">
        <v>420.0</v>
      </c>
    </row>
    <row r="64" ht="14.25" customHeight="1">
      <c r="A64" s="10">
        <v>360.0</v>
      </c>
    </row>
    <row r="65" ht="14.25" customHeight="1">
      <c r="A65" s="10">
        <v>180.0</v>
      </c>
    </row>
    <row r="66" ht="14.25" customHeight="1">
      <c r="A66" s="10">
        <v>100.0</v>
      </c>
    </row>
    <row r="67" ht="14.25" customHeight="1">
      <c r="A67" s="10">
        <v>300.0</v>
      </c>
    </row>
    <row r="68" ht="14.25" customHeight="1">
      <c r="A68" s="10">
        <v>30.0</v>
      </c>
    </row>
    <row r="69" ht="14.25" customHeight="1">
      <c r="A69" s="10">
        <v>120.0</v>
      </c>
    </row>
    <row r="70" ht="14.25" customHeight="1">
      <c r="A70" s="10">
        <v>80.0</v>
      </c>
    </row>
    <row r="71" ht="14.25" customHeight="1">
      <c r="A71" s="10">
        <v>90.0</v>
      </c>
    </row>
    <row r="72" ht="14.25" customHeight="1">
      <c r="A72" s="10">
        <v>75.0</v>
      </c>
    </row>
    <row r="73" ht="14.25" customHeight="1">
      <c r="A73" s="10">
        <v>120.0</v>
      </c>
    </row>
    <row r="74" ht="14.25" customHeight="1">
      <c r="A74" s="10">
        <v>300.0</v>
      </c>
    </row>
    <row r="75" ht="14.25" customHeight="1">
      <c r="A75" s="10">
        <v>300.0</v>
      </c>
    </row>
    <row r="76" ht="14.25" customHeight="1">
      <c r="A76" s="10">
        <v>90.0</v>
      </c>
    </row>
    <row r="77" ht="14.25" customHeight="1">
      <c r="A77" s="10">
        <v>240.0</v>
      </c>
    </row>
    <row r="78" ht="14.25" customHeight="1">
      <c r="A78" s="10">
        <v>180.0</v>
      </c>
    </row>
    <row r="79" ht="14.25" customHeight="1">
      <c r="A79" s="10">
        <v>60.0</v>
      </c>
    </row>
    <row r="80" ht="14.25" customHeight="1">
      <c r="A80" s="10">
        <v>210.0</v>
      </c>
    </row>
    <row r="81" ht="14.25" customHeight="1">
      <c r="A81" s="10">
        <v>45.0</v>
      </c>
    </row>
    <row r="82" ht="14.25" customHeight="1">
      <c r="A82" s="10">
        <v>180.0</v>
      </c>
    </row>
    <row r="83" ht="14.25" customHeight="1">
      <c r="A83" s="10">
        <v>480.0</v>
      </c>
    </row>
    <row r="84" ht="14.25" customHeight="1">
      <c r="A84" s="10">
        <v>480.0</v>
      </c>
    </row>
    <row r="85" ht="14.25" customHeight="1">
      <c r="A85" s="10">
        <v>120.0</v>
      </c>
    </row>
    <row r="86" ht="14.25" customHeight="1">
      <c r="A86" s="10">
        <v>420.0</v>
      </c>
    </row>
    <row r="87" ht="14.25" customHeight="1">
      <c r="A87" s="10">
        <v>90.0</v>
      </c>
    </row>
    <row r="88" ht="14.25" customHeight="1">
      <c r="A88" s="10">
        <v>90.0</v>
      </c>
    </row>
    <row r="89" ht="14.25" customHeight="1">
      <c r="A89" s="10">
        <v>120.0</v>
      </c>
    </row>
    <row r="90" ht="14.25" customHeight="1">
      <c r="A90" s="10">
        <v>90.0</v>
      </c>
    </row>
    <row r="91" ht="14.25" customHeight="1">
      <c r="A91" s="10">
        <v>480.0</v>
      </c>
    </row>
    <row r="92" ht="14.25" customHeight="1">
      <c r="A92" s="10">
        <v>480.0</v>
      </c>
    </row>
    <row r="93" ht="14.25" customHeight="1">
      <c r="A93" s="10">
        <v>240.0</v>
      </c>
    </row>
    <row r="94" ht="14.25" customHeight="1">
      <c r="A94" s="10">
        <v>300.0</v>
      </c>
    </row>
    <row r="95" ht="14.25" customHeight="1">
      <c r="A95" s="10">
        <v>180.0</v>
      </c>
    </row>
    <row r="96" ht="14.25" customHeight="1">
      <c r="A96" s="10">
        <v>300.0</v>
      </c>
    </row>
    <row r="97" ht="14.25" customHeight="1">
      <c r="A97" s="10">
        <v>120.0</v>
      </c>
    </row>
    <row r="98" ht="14.25" customHeight="1">
      <c r="A98" s="10">
        <v>180.0</v>
      </c>
    </row>
    <row r="99" ht="14.25" customHeight="1">
      <c r="A99" s="10">
        <v>500.0</v>
      </c>
    </row>
    <row r="100" ht="14.25" customHeight="1">
      <c r="A100" s="10">
        <v>120.0</v>
      </c>
    </row>
    <row r="101" ht="14.25" customHeight="1">
      <c r="A101" s="10">
        <v>120.0</v>
      </c>
    </row>
    <row r="102" ht="14.25" customHeight="1">
      <c r="A102" s="10">
        <v>40.0</v>
      </c>
    </row>
    <row r="103" ht="14.25" customHeight="1">
      <c r="A103" s="10">
        <v>30.0</v>
      </c>
    </row>
    <row r="104" ht="14.25" customHeight="1">
      <c r="A104" s="10">
        <v>60.0</v>
      </c>
    </row>
    <row r="105" ht="14.25" customHeight="1">
      <c r="A105" s="10">
        <v>60.0</v>
      </c>
    </row>
    <row r="106" ht="14.25" customHeight="1">
      <c r="A106" s="10">
        <v>60.0</v>
      </c>
    </row>
    <row r="107" ht="14.25" customHeight="1">
      <c r="A107" s="10">
        <v>60.0</v>
      </c>
    </row>
    <row r="108" ht="14.25" customHeight="1">
      <c r="A108" s="10">
        <v>30.0</v>
      </c>
    </row>
    <row r="109" ht="14.25" customHeight="1">
      <c r="A109" s="10">
        <v>30.0</v>
      </c>
    </row>
    <row r="110" ht="14.25" customHeight="1">
      <c r="A110" s="10">
        <v>120.0</v>
      </c>
    </row>
    <row r="111" ht="14.25" customHeight="1">
      <c r="A111" s="10">
        <v>60.0</v>
      </c>
    </row>
    <row r="112" ht="14.25" customHeight="1">
      <c r="A112" s="10">
        <v>120.0</v>
      </c>
    </row>
    <row r="113" ht="14.25" customHeight="1">
      <c r="A113" s="10">
        <v>60.0</v>
      </c>
    </row>
    <row r="114" ht="14.25" customHeight="1">
      <c r="A114" s="10">
        <v>120.0</v>
      </c>
    </row>
    <row r="115" ht="14.25" customHeight="1">
      <c r="A115" s="10">
        <v>60.0</v>
      </c>
    </row>
    <row r="116" ht="14.25" customHeight="1">
      <c r="A116" s="10">
        <v>60.0</v>
      </c>
    </row>
    <row r="117" ht="14.25" customHeight="1">
      <c r="A117" s="10">
        <v>45.0</v>
      </c>
    </row>
    <row r="118" ht="14.25" customHeight="1">
      <c r="A118" s="10">
        <v>20.0</v>
      </c>
    </row>
    <row r="119" ht="14.25" customHeight="1">
      <c r="A119" s="10">
        <v>60.0</v>
      </c>
    </row>
    <row r="120" ht="14.25" customHeight="1">
      <c r="A120" s="10">
        <v>420.0</v>
      </c>
    </row>
    <row r="121" ht="14.25" customHeight="1">
      <c r="A121" s="10">
        <v>300.0</v>
      </c>
    </row>
    <row r="122" ht="14.25" customHeight="1">
      <c r="A122" s="10">
        <v>30.0</v>
      </c>
    </row>
    <row r="123" ht="14.25" customHeight="1">
      <c r="A123" s="10">
        <v>360.0</v>
      </c>
    </row>
    <row r="124" ht="14.25" customHeight="1">
      <c r="A124" s="10">
        <v>120.0</v>
      </c>
    </row>
    <row r="125" ht="14.25" customHeight="1">
      <c r="A125" s="10">
        <v>240.0</v>
      </c>
    </row>
    <row r="126" ht="14.25" customHeight="1">
      <c r="A126" s="10">
        <v>120.0</v>
      </c>
    </row>
    <row r="127" ht="14.25" customHeight="1">
      <c r="A127" s="10">
        <v>90.0</v>
      </c>
    </row>
    <row r="128" ht="14.25" customHeight="1">
      <c r="A128" s="10">
        <v>40.0</v>
      </c>
    </row>
    <row r="129" ht="14.25" customHeight="1">
      <c r="A129" s="10">
        <v>60.0</v>
      </c>
    </row>
    <row r="130" ht="14.25" customHeight="1">
      <c r="A130" s="10">
        <v>120.0</v>
      </c>
    </row>
    <row r="131" ht="14.25" customHeight="1">
      <c r="A131" s="10">
        <v>120.0</v>
      </c>
    </row>
    <row r="132" ht="14.25" customHeight="1">
      <c r="A132" s="10">
        <v>90.0</v>
      </c>
    </row>
    <row r="133" ht="14.25" customHeight="1">
      <c r="A133" s="10">
        <v>60.0</v>
      </c>
    </row>
    <row r="134" ht="14.25" customHeight="1">
      <c r="A134" s="10">
        <v>60.0</v>
      </c>
    </row>
    <row r="135" ht="14.25" customHeight="1">
      <c r="A135" s="10">
        <v>100.0</v>
      </c>
    </row>
    <row r="136" ht="14.25" customHeight="1">
      <c r="A136" s="10">
        <v>90.0</v>
      </c>
    </row>
    <row r="137" ht="14.25" customHeight="1">
      <c r="A137" s="10">
        <v>30.0</v>
      </c>
    </row>
    <row r="138" ht="14.25" customHeight="1">
      <c r="A138" s="10">
        <v>120.0</v>
      </c>
    </row>
    <row r="139" ht="14.25" customHeight="1">
      <c r="A139" s="10">
        <v>60.0</v>
      </c>
    </row>
    <row r="140" ht="14.25" customHeight="1">
      <c r="A140" s="10">
        <v>90.0</v>
      </c>
    </row>
    <row r="141" ht="14.25" customHeight="1">
      <c r="A141" s="10">
        <v>90.0</v>
      </c>
    </row>
    <row r="142" ht="14.25" customHeight="1">
      <c r="A142" s="10">
        <v>120.0</v>
      </c>
    </row>
    <row r="143" ht="14.25" customHeight="1">
      <c r="A143" s="10">
        <v>120.0</v>
      </c>
    </row>
    <row r="144" ht="14.25" customHeight="1">
      <c r="A144" s="10">
        <v>180.0</v>
      </c>
    </row>
    <row r="145" ht="14.25" customHeight="1">
      <c r="A145" s="10">
        <v>90.0</v>
      </c>
    </row>
    <row r="146" ht="14.25" customHeight="1">
      <c r="A146" s="10">
        <v>120.0</v>
      </c>
    </row>
    <row r="147" ht="14.25" customHeight="1">
      <c r="A147" s="10">
        <v>120.0</v>
      </c>
    </row>
    <row r="148" ht="14.25" customHeight="1">
      <c r="A148" s="10">
        <v>120.0</v>
      </c>
    </row>
    <row r="149" ht="14.25" customHeight="1">
      <c r="A149" s="10">
        <v>90.0</v>
      </c>
    </row>
    <row r="150" ht="14.25" customHeight="1">
      <c r="A150" s="10">
        <v>45.0</v>
      </c>
    </row>
    <row r="151" ht="14.25" customHeight="1">
      <c r="A151" s="10">
        <v>900.0</v>
      </c>
    </row>
    <row r="152" ht="14.25" customHeight="1">
      <c r="A152" s="10">
        <v>800.0</v>
      </c>
    </row>
    <row r="153" ht="14.25" customHeight="1">
      <c r="A153" s="10">
        <v>750.0</v>
      </c>
    </row>
    <row r="154" ht="14.25" customHeight="1">
      <c r="A154" s="10">
        <v>900.0</v>
      </c>
    </row>
    <row r="155" ht="14.25" customHeight="1">
      <c r="A155" s="10">
        <v>970.0</v>
      </c>
    </row>
    <row r="156" ht="14.25" customHeight="1">
      <c r="A156" s="10">
        <v>420.0</v>
      </c>
    </row>
    <row r="157" ht="14.25" customHeight="1">
      <c r="A157" s="10">
        <v>180.0</v>
      </c>
    </row>
    <row r="158" ht="14.25" customHeight="1">
      <c r="A158" s="10">
        <v>60.0</v>
      </c>
    </row>
    <row r="159" ht="14.25" customHeight="1">
      <c r="A159" s="10">
        <v>120.0</v>
      </c>
    </row>
    <row r="160" ht="14.25" customHeight="1">
      <c r="A160" s="10">
        <v>360.0</v>
      </c>
    </row>
    <row r="161" ht="14.25" customHeight="1">
      <c r="A161" s="10">
        <v>180.0</v>
      </c>
    </row>
    <row r="162" ht="14.25" customHeight="1">
      <c r="A162" s="10">
        <v>700.0</v>
      </c>
    </row>
    <row r="163" ht="14.25" customHeight="1">
      <c r="A163" s="10">
        <v>240.0</v>
      </c>
    </row>
    <row r="164" ht="14.25" customHeight="1">
      <c r="A164" s="10">
        <v>60.0</v>
      </c>
    </row>
    <row r="165" ht="14.25" customHeight="1">
      <c r="A165" s="10">
        <v>60.0</v>
      </c>
    </row>
    <row r="166" ht="14.25" customHeight="1">
      <c r="A166" s="10">
        <v>120.0</v>
      </c>
    </row>
    <row r="167" ht="14.25" customHeight="1">
      <c r="A167" s="10">
        <v>60.0</v>
      </c>
    </row>
    <row r="168" ht="14.25" customHeight="1">
      <c r="A168" s="10">
        <v>180.0</v>
      </c>
    </row>
    <row r="169" ht="14.25" customHeight="1">
      <c r="A169" s="10">
        <v>50.0</v>
      </c>
    </row>
    <row r="170" ht="14.25" customHeight="1">
      <c r="A170" s="10">
        <v>15.0</v>
      </c>
    </row>
    <row r="171" ht="14.25" customHeight="1">
      <c r="A171" s="10">
        <v>120.0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2026-02-25T20:01:57Z</dcterms:created>
  <dc:creator>Luu Vngs</dc:creator>
</cp:coreProperties>
</file>