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0d437db6a011c9/Documentos/"/>
    </mc:Choice>
  </mc:AlternateContent>
  <xr:revisionPtr revIDLastSave="0" documentId="14_{2DC66E1E-7682-4929-9B5C-6EBD6FEDEA5F}" xr6:coauthVersionLast="47" xr6:coauthVersionMax="47" xr10:uidLastSave="{00000000-0000-0000-0000-000000000000}"/>
  <bookViews>
    <workbookView xWindow="-108" yWindow="-108" windowWidth="23256" windowHeight="12456" xr2:uid="{610E4EA7-F0A8-4674-A93C-18064462E3E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3" l="1"/>
  <c r="H20" i="3"/>
  <c r="E7" i="3"/>
  <c r="E4" i="3"/>
  <c r="G4" i="3" s="1"/>
  <c r="G3" i="3"/>
  <c r="E3" i="3"/>
  <c r="E2" i="3"/>
  <c r="E7" i="2"/>
  <c r="F7" i="2"/>
  <c r="G3" i="2"/>
  <c r="E3" i="2"/>
  <c r="E4" i="2" s="1"/>
  <c r="G4" i="2" s="1"/>
  <c r="E2" i="2"/>
  <c r="K9" i="1"/>
  <c r="K10" i="1"/>
  <c r="K11" i="1"/>
  <c r="K12" i="1"/>
  <c r="K13" i="1"/>
  <c r="K14" i="1"/>
  <c r="K15" i="1"/>
  <c r="K16" i="1"/>
  <c r="K17" i="1"/>
  <c r="K18" i="1"/>
  <c r="K19" i="1"/>
  <c r="K8" i="1"/>
  <c r="K7" i="1"/>
  <c r="J9" i="1"/>
  <c r="J10" i="1"/>
  <c r="J11" i="1"/>
  <c r="J12" i="1"/>
  <c r="J13" i="1"/>
  <c r="J14" i="1"/>
  <c r="J15" i="1"/>
  <c r="J16" i="1"/>
  <c r="J17" i="1"/>
  <c r="J18" i="1"/>
  <c r="J19" i="1"/>
  <c r="J8" i="1"/>
  <c r="J7" i="1"/>
  <c r="I20" i="1"/>
  <c r="I8" i="1"/>
  <c r="I9" i="1"/>
  <c r="I10" i="1"/>
  <c r="I11" i="1"/>
  <c r="I12" i="1"/>
  <c r="I13" i="1"/>
  <c r="I14" i="1"/>
  <c r="I15" i="1"/>
  <c r="I16" i="1"/>
  <c r="I17" i="1"/>
  <c r="I18" i="1"/>
  <c r="I19" i="1"/>
  <c r="I7" i="1"/>
  <c r="H20" i="1"/>
  <c r="H7" i="1" a="1"/>
  <c r="H7" i="1" s="1"/>
  <c r="G8" i="1"/>
  <c r="G9" i="1"/>
  <c r="G10" i="1"/>
  <c r="G11" i="1"/>
  <c r="G12" i="1"/>
  <c r="G13" i="1"/>
  <c r="G14" i="1"/>
  <c r="G15" i="1"/>
  <c r="G16" i="1"/>
  <c r="G17" i="1"/>
  <c r="G18" i="1"/>
  <c r="G19" i="1"/>
  <c r="G7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 s="1"/>
  <c r="F17" i="1" s="1"/>
  <c r="E18" i="1" s="1"/>
  <c r="F18" i="1" s="1"/>
  <c r="E19" i="1" s="1"/>
  <c r="F19" i="1" s="1"/>
  <c r="F8" i="1"/>
  <c r="E8" i="1"/>
  <c r="F7" i="1"/>
  <c r="E7" i="1"/>
  <c r="G4" i="1"/>
  <c r="E4" i="1"/>
  <c r="E2" i="1"/>
  <c r="E3" i="1"/>
  <c r="G3" i="1"/>
  <c r="F7" i="3" l="1"/>
  <c r="E8" i="2"/>
  <c r="G7" i="2"/>
  <c r="E8" i="3" l="1"/>
  <c r="G7" i="3"/>
  <c r="F8" i="2"/>
  <c r="G8" i="2"/>
  <c r="F8" i="3" l="1"/>
  <c r="E9" i="2"/>
  <c r="E9" i="3" l="1"/>
  <c r="G8" i="3"/>
  <c r="F9" i="2"/>
  <c r="G9" i="2"/>
  <c r="G9" i="3" l="1"/>
  <c r="F9" i="3"/>
  <c r="E10" i="2"/>
  <c r="E10" i="3" l="1"/>
  <c r="F10" i="2"/>
  <c r="F10" i="3" l="1"/>
  <c r="E11" i="2"/>
  <c r="G10" i="2"/>
  <c r="E11" i="3" l="1"/>
  <c r="G10" i="3"/>
  <c r="F11" i="2"/>
  <c r="F11" i="3" l="1"/>
  <c r="E12" i="2"/>
  <c r="G11" i="2"/>
  <c r="E12" i="3" l="1"/>
  <c r="G11" i="3"/>
  <c r="F12" i="2"/>
  <c r="E13" i="2" s="1"/>
  <c r="G12" i="2"/>
  <c r="F12" i="3" l="1"/>
  <c r="E13" i="3" s="1"/>
  <c r="F13" i="2"/>
  <c r="E14" i="2" s="1"/>
  <c r="F13" i="3" l="1"/>
  <c r="E14" i="3" s="1"/>
  <c r="G12" i="3"/>
  <c r="G13" i="2"/>
  <c r="F14" i="2"/>
  <c r="E15" i="2" s="1"/>
  <c r="F14" i="3" l="1"/>
  <c r="E15" i="3" s="1"/>
  <c r="G13" i="3"/>
  <c r="F15" i="2"/>
  <c r="E16" i="2" s="1"/>
  <c r="G14" i="2"/>
  <c r="F15" i="3" l="1"/>
  <c r="E16" i="3" s="1"/>
  <c r="G14" i="3"/>
  <c r="F16" i="2"/>
  <c r="E17" i="2" s="1"/>
  <c r="G15" i="2"/>
  <c r="F16" i="3" l="1"/>
  <c r="E17" i="3" s="1"/>
  <c r="G15" i="3"/>
  <c r="F17" i="2"/>
  <c r="E18" i="2" s="1"/>
  <c r="G17" i="2"/>
  <c r="G16" i="2"/>
  <c r="F17" i="3" l="1"/>
  <c r="E18" i="3" s="1"/>
  <c r="G16" i="3"/>
  <c r="F18" i="2"/>
  <c r="F18" i="3" l="1"/>
  <c r="G17" i="3"/>
  <c r="E19" i="2"/>
  <c r="H7" i="2" a="1"/>
  <c r="G18" i="2"/>
  <c r="E19" i="3" l="1"/>
  <c r="H7" i="3" a="1"/>
  <c r="G18" i="3"/>
  <c r="H7" i="2"/>
  <c r="H20" i="2" s="1"/>
  <c r="F19" i="2"/>
  <c r="G19" i="2" s="1"/>
  <c r="I16" i="3" l="1"/>
  <c r="I8" i="3"/>
  <c r="I13" i="3"/>
  <c r="I18" i="3"/>
  <c r="I10" i="3"/>
  <c r="I15" i="3"/>
  <c r="H7" i="3"/>
  <c r="I12" i="3"/>
  <c r="I17" i="3"/>
  <c r="I9" i="3"/>
  <c r="I14" i="3"/>
  <c r="I19" i="3"/>
  <c r="I11" i="3"/>
  <c r="F19" i="3"/>
  <c r="G19" i="3" s="1"/>
  <c r="I14" i="2"/>
  <c r="I19" i="2"/>
  <c r="I11" i="2"/>
  <c r="I13" i="2"/>
  <c r="I16" i="2"/>
  <c r="I8" i="2"/>
  <c r="I18" i="2"/>
  <c r="I10" i="2"/>
  <c r="I9" i="2"/>
  <c r="I15" i="2"/>
  <c r="I17" i="2"/>
  <c r="I12" i="2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I7" i="2"/>
  <c r="J7" i="3" l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I7" i="3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7" i="2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I2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<sst xmlns="http://schemas.openxmlformats.org/spreadsheetml/2006/main" count="46" uniqueCount="18">
  <si>
    <t>n</t>
  </si>
  <si>
    <t>amplitud</t>
  </si>
  <si>
    <t>clases</t>
  </si>
  <si>
    <t>rango</t>
  </si>
  <si>
    <t>Clase</t>
  </si>
  <si>
    <t>sup</t>
  </si>
  <si>
    <t>Xi</t>
  </si>
  <si>
    <t>fi</t>
  </si>
  <si>
    <t>fi*</t>
  </si>
  <si>
    <t>Fi</t>
  </si>
  <si>
    <t>Fi*</t>
  </si>
  <si>
    <t>Tiempo de permanencia en la Facultad (anotar el número en minutos)</t>
  </si>
  <si>
    <t>min</t>
  </si>
  <si>
    <t>max</t>
  </si>
  <si>
    <t xml:space="preserve"> inf</t>
  </si>
  <si>
    <t xml:space="preserve"> </t>
  </si>
  <si>
    <t>Promedio actual</t>
  </si>
  <si>
    <r>
      <rPr>
        <b/>
        <sz val="10"/>
        <color theme="1"/>
        <rFont val="Arial"/>
      </rPr>
      <t>Número de MINUTOS dedicados al estudio cada día (</t>
    </r>
    <r>
      <rPr>
        <b/>
        <sz val="10"/>
        <color theme="1"/>
        <rFont val="Arial"/>
      </rPr>
      <t>solo anotar un número entero)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</si>
</sst>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5B3F8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3" fontId="1" fillId="3" borderId="1" xfId="0" applyNumberFormat="1" applyFont="1" applyFill="1" applyBorder="1" applyAlignment="1">
      <alignment horizontal="right" vertical="center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0" fillId="5" borderId="0" xfId="0" applyFill="1"/>
    <xf numFmtId="0" fontId="3" fillId="6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/>
    </xf>
    <xf numFmtId="0" fontId="1" fillId="4" borderId="1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Hoja1!$H$6</c:f>
              <c:strCache>
                <c:ptCount val="1"/>
                <c:pt idx="0">
                  <c:v>fi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numRef>
              <c:f>Hoja1!$E$7:$E$19</c:f>
              <c:numCache>
                <c:formatCode>General</c:formatCode>
                <c:ptCount val="13"/>
                <c:pt idx="0">
                  <c:v>11.5</c:v>
                </c:pt>
                <c:pt idx="1">
                  <c:v>379.81</c:v>
                </c:pt>
                <c:pt idx="2">
                  <c:v>748.12</c:v>
                </c:pt>
                <c:pt idx="3">
                  <c:v>1116.43</c:v>
                </c:pt>
                <c:pt idx="4">
                  <c:v>1484.74</c:v>
                </c:pt>
                <c:pt idx="5">
                  <c:v>1853.05</c:v>
                </c:pt>
                <c:pt idx="6">
                  <c:v>2221.36</c:v>
                </c:pt>
                <c:pt idx="7">
                  <c:v>2589.67</c:v>
                </c:pt>
                <c:pt idx="8">
                  <c:v>2957.98</c:v>
                </c:pt>
                <c:pt idx="9">
                  <c:v>3326.29</c:v>
                </c:pt>
                <c:pt idx="10">
                  <c:v>3694.6</c:v>
                </c:pt>
                <c:pt idx="11">
                  <c:v>4062.91</c:v>
                </c:pt>
                <c:pt idx="12">
                  <c:v>4431.22</c:v>
                </c:pt>
              </c:numCache>
            </c:numRef>
          </c:cat>
          <c:val>
            <c:numRef>
              <c:f>Hoja1!$H$7:$H$19</c:f>
              <c:numCache>
                <c:formatCode>General</c:formatCode>
                <c:ptCount val="13"/>
                <c:pt idx="0">
                  <c:v>77</c:v>
                </c:pt>
                <c:pt idx="1">
                  <c:v>80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2-419B-94EE-4E9045320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605297296"/>
        <c:axId val="1605305456"/>
      </c:barChart>
      <c:catAx>
        <c:axId val="160529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5305456"/>
        <c:crosses val="autoZero"/>
        <c:auto val="1"/>
        <c:lblAlgn val="ctr"/>
        <c:lblOffset val="100"/>
        <c:noMultiLvlLbl val="0"/>
      </c:catAx>
      <c:valAx>
        <c:axId val="160530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529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Polígono</a:t>
            </a:r>
            <a:r>
              <a:rPr lang="en-US" baseline="0"/>
              <a:t> de frecuencias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Hoja1!$H$6</c:f>
              <c:strCache>
                <c:ptCount val="1"/>
                <c:pt idx="0">
                  <c:v>fi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Hoja1!$E$7:$E$19</c:f>
              <c:numCache>
                <c:formatCode>General</c:formatCode>
                <c:ptCount val="13"/>
                <c:pt idx="0">
                  <c:v>11.5</c:v>
                </c:pt>
                <c:pt idx="1">
                  <c:v>379.81</c:v>
                </c:pt>
                <c:pt idx="2">
                  <c:v>748.12</c:v>
                </c:pt>
                <c:pt idx="3">
                  <c:v>1116.43</c:v>
                </c:pt>
                <c:pt idx="4">
                  <c:v>1484.74</c:v>
                </c:pt>
                <c:pt idx="5">
                  <c:v>1853.05</c:v>
                </c:pt>
                <c:pt idx="6">
                  <c:v>2221.36</c:v>
                </c:pt>
                <c:pt idx="7">
                  <c:v>2589.67</c:v>
                </c:pt>
                <c:pt idx="8">
                  <c:v>2957.98</c:v>
                </c:pt>
                <c:pt idx="9">
                  <c:v>3326.29</c:v>
                </c:pt>
                <c:pt idx="10">
                  <c:v>3694.6</c:v>
                </c:pt>
                <c:pt idx="11">
                  <c:v>4062.91</c:v>
                </c:pt>
                <c:pt idx="12">
                  <c:v>4431.22</c:v>
                </c:pt>
              </c:numCache>
            </c:numRef>
          </c:cat>
          <c:val>
            <c:numRef>
              <c:f>Hoja1!$H$7:$H$19</c:f>
              <c:numCache>
                <c:formatCode>General</c:formatCode>
                <c:ptCount val="13"/>
                <c:pt idx="0">
                  <c:v>77</c:v>
                </c:pt>
                <c:pt idx="1">
                  <c:v>80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A1-430D-AEAA-DB6CFEE3C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5524592"/>
        <c:axId val="1755524112"/>
      </c:lineChart>
      <c:catAx>
        <c:axId val="175552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5524112"/>
        <c:crosses val="autoZero"/>
        <c:auto val="1"/>
        <c:lblAlgn val="ctr"/>
        <c:lblOffset val="100"/>
        <c:noMultiLvlLbl val="0"/>
      </c:catAx>
      <c:valAx>
        <c:axId val="175552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552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Hoja2!$H$6</c:f>
              <c:strCache>
                <c:ptCount val="1"/>
                <c:pt idx="0">
                  <c:v>fi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Hoja2!$E$7:$E$19</c:f>
              <c:numCache>
                <c:formatCode>General</c:formatCode>
                <c:ptCount val="13"/>
                <c:pt idx="0">
                  <c:v>6.75</c:v>
                </c:pt>
                <c:pt idx="1">
                  <c:v>6.99</c:v>
                </c:pt>
                <c:pt idx="2">
                  <c:v>7.23</c:v>
                </c:pt>
                <c:pt idx="3">
                  <c:v>7.4700000000000006</c:v>
                </c:pt>
                <c:pt idx="4">
                  <c:v>7.7100000000000009</c:v>
                </c:pt>
                <c:pt idx="5">
                  <c:v>7.9500000000000011</c:v>
                </c:pt>
                <c:pt idx="6">
                  <c:v>8.1900000000000013</c:v>
                </c:pt>
                <c:pt idx="7">
                  <c:v>8.4300000000000015</c:v>
                </c:pt>
                <c:pt idx="8">
                  <c:v>8.6700000000000017</c:v>
                </c:pt>
                <c:pt idx="9">
                  <c:v>8.9100000000000019</c:v>
                </c:pt>
                <c:pt idx="10">
                  <c:v>9.1500000000000021</c:v>
                </c:pt>
                <c:pt idx="11">
                  <c:v>9.3900000000000023</c:v>
                </c:pt>
                <c:pt idx="12">
                  <c:v>9.6300000000000026</c:v>
                </c:pt>
              </c:numCache>
            </c:numRef>
          </c:cat>
          <c:val>
            <c:numRef>
              <c:f>Hoja2!$H$7:$H$19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13</c:v>
                </c:pt>
                <c:pt idx="5">
                  <c:v>7</c:v>
                </c:pt>
                <c:pt idx="6">
                  <c:v>15</c:v>
                </c:pt>
                <c:pt idx="7">
                  <c:v>24</c:v>
                </c:pt>
                <c:pt idx="8">
                  <c:v>30</c:v>
                </c:pt>
                <c:pt idx="9">
                  <c:v>19</c:v>
                </c:pt>
                <c:pt idx="10">
                  <c:v>28</c:v>
                </c:pt>
                <c:pt idx="11">
                  <c:v>12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6-462C-A1C2-169D8841E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829576576"/>
        <c:axId val="1829575616"/>
      </c:barChart>
      <c:catAx>
        <c:axId val="18295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9575616"/>
        <c:crosses val="autoZero"/>
        <c:auto val="1"/>
        <c:lblAlgn val="ctr"/>
        <c:lblOffset val="100"/>
        <c:noMultiLvlLbl val="0"/>
      </c:catAx>
      <c:valAx>
        <c:axId val="182957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957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Polígono</a:t>
            </a:r>
            <a:r>
              <a:rPr lang="en-US" baseline="0"/>
              <a:t> de frecuencias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Hoja2!$H$6</c:f>
              <c:strCache>
                <c:ptCount val="1"/>
                <c:pt idx="0">
                  <c:v>fi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Hoja2!$E$7:$E$19</c:f>
              <c:numCache>
                <c:formatCode>General</c:formatCode>
                <c:ptCount val="13"/>
                <c:pt idx="0">
                  <c:v>6.75</c:v>
                </c:pt>
                <c:pt idx="1">
                  <c:v>6.99</c:v>
                </c:pt>
                <c:pt idx="2">
                  <c:v>7.23</c:v>
                </c:pt>
                <c:pt idx="3">
                  <c:v>7.4700000000000006</c:v>
                </c:pt>
                <c:pt idx="4">
                  <c:v>7.7100000000000009</c:v>
                </c:pt>
                <c:pt idx="5">
                  <c:v>7.9500000000000011</c:v>
                </c:pt>
                <c:pt idx="6">
                  <c:v>8.1900000000000013</c:v>
                </c:pt>
                <c:pt idx="7">
                  <c:v>8.4300000000000015</c:v>
                </c:pt>
                <c:pt idx="8">
                  <c:v>8.6700000000000017</c:v>
                </c:pt>
                <c:pt idx="9">
                  <c:v>8.9100000000000019</c:v>
                </c:pt>
                <c:pt idx="10">
                  <c:v>9.1500000000000021</c:v>
                </c:pt>
                <c:pt idx="11">
                  <c:v>9.3900000000000023</c:v>
                </c:pt>
                <c:pt idx="12">
                  <c:v>9.6300000000000026</c:v>
                </c:pt>
              </c:numCache>
            </c:numRef>
          </c:cat>
          <c:val>
            <c:numRef>
              <c:f>Hoja2!$H$7:$H$19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13</c:v>
                </c:pt>
                <c:pt idx="5">
                  <c:v>7</c:v>
                </c:pt>
                <c:pt idx="6">
                  <c:v>15</c:v>
                </c:pt>
                <c:pt idx="7">
                  <c:v>24</c:v>
                </c:pt>
                <c:pt idx="8">
                  <c:v>30</c:v>
                </c:pt>
                <c:pt idx="9">
                  <c:v>19</c:v>
                </c:pt>
                <c:pt idx="10">
                  <c:v>28</c:v>
                </c:pt>
                <c:pt idx="11">
                  <c:v>12</c:v>
                </c:pt>
                <c:pt idx="1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90-496A-8B51-4ACBB56C7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306896"/>
        <c:axId val="1605292016"/>
      </c:lineChart>
      <c:catAx>
        <c:axId val="160530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5292016"/>
        <c:crosses val="autoZero"/>
        <c:auto val="1"/>
        <c:lblAlgn val="ctr"/>
        <c:lblOffset val="100"/>
        <c:noMultiLvlLbl val="0"/>
      </c:catAx>
      <c:valAx>
        <c:axId val="160529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530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Hoja3!$H$6</c:f>
              <c:strCache>
                <c:ptCount val="1"/>
                <c:pt idx="0">
                  <c:v>fi</c:v>
                </c:pt>
              </c:strCache>
            </c:strRef>
          </c:tx>
          <c:spPr>
            <a:solidFill>
              <a:srgbClr val="FF9933"/>
            </a:solidFill>
            <a:ln>
              <a:noFill/>
            </a:ln>
            <a:effectLst/>
          </c:spPr>
          <c:invertIfNegative val="0"/>
          <c:cat>
            <c:numRef>
              <c:f>Hoja3!$E$7:$E$19</c:f>
              <c:numCache>
                <c:formatCode>General</c:formatCode>
                <c:ptCount val="13"/>
                <c:pt idx="0">
                  <c:v>-0.5</c:v>
                </c:pt>
                <c:pt idx="1">
                  <c:v>74.12</c:v>
                </c:pt>
                <c:pt idx="2">
                  <c:v>148.74</c:v>
                </c:pt>
                <c:pt idx="3">
                  <c:v>223.36</c:v>
                </c:pt>
                <c:pt idx="4">
                  <c:v>297.98</c:v>
                </c:pt>
                <c:pt idx="5">
                  <c:v>372.6</c:v>
                </c:pt>
                <c:pt idx="6">
                  <c:v>447.22</c:v>
                </c:pt>
                <c:pt idx="7">
                  <c:v>521.84</c:v>
                </c:pt>
                <c:pt idx="8">
                  <c:v>596.46</c:v>
                </c:pt>
                <c:pt idx="9">
                  <c:v>671.08</c:v>
                </c:pt>
                <c:pt idx="10">
                  <c:v>745.7</c:v>
                </c:pt>
                <c:pt idx="11">
                  <c:v>820.32</c:v>
                </c:pt>
                <c:pt idx="12">
                  <c:v>894.94</c:v>
                </c:pt>
              </c:numCache>
            </c:numRef>
          </c:cat>
          <c:val>
            <c:numRef>
              <c:f>Hoja3!$H$7:$H$19</c:f>
              <c:numCache>
                <c:formatCode>General</c:formatCode>
                <c:ptCount val="13"/>
                <c:pt idx="0">
                  <c:v>51</c:v>
                </c:pt>
                <c:pt idx="1">
                  <c:v>63</c:v>
                </c:pt>
                <c:pt idx="2">
                  <c:v>19</c:v>
                </c:pt>
                <c:pt idx="3">
                  <c:v>5</c:v>
                </c:pt>
                <c:pt idx="4">
                  <c:v>13</c:v>
                </c:pt>
                <c:pt idx="5">
                  <c:v>5</c:v>
                </c:pt>
                <c:pt idx="6">
                  <c:v>6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C-4B1D-9CDF-D17F7A95A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409203264"/>
        <c:axId val="409201824"/>
      </c:barChart>
      <c:catAx>
        <c:axId val="40920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9201824"/>
        <c:crosses val="autoZero"/>
        <c:auto val="1"/>
        <c:lblAlgn val="ctr"/>
        <c:lblOffset val="100"/>
        <c:noMultiLvlLbl val="0"/>
      </c:catAx>
      <c:valAx>
        <c:axId val="40920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920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Polígono</a:t>
            </a:r>
            <a:r>
              <a:rPr lang="en-US" baseline="0"/>
              <a:t> de frecuencias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7171296296296298"/>
          <c:w val="0.90297462817147855"/>
          <c:h val="0.65385425780110817"/>
        </c:manualLayout>
      </c:layout>
      <c:lineChart>
        <c:grouping val="standard"/>
        <c:varyColors val="0"/>
        <c:ser>
          <c:idx val="0"/>
          <c:order val="0"/>
          <c:tx>
            <c:strRef>
              <c:f>Hoja3!$H$6</c:f>
              <c:strCache>
                <c:ptCount val="1"/>
                <c:pt idx="0">
                  <c:v>fi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Hoja3!$E$7:$E$19</c:f>
              <c:numCache>
                <c:formatCode>General</c:formatCode>
                <c:ptCount val="13"/>
                <c:pt idx="0">
                  <c:v>-0.5</c:v>
                </c:pt>
                <c:pt idx="1">
                  <c:v>74.12</c:v>
                </c:pt>
                <c:pt idx="2">
                  <c:v>148.74</c:v>
                </c:pt>
                <c:pt idx="3">
                  <c:v>223.36</c:v>
                </c:pt>
                <c:pt idx="4">
                  <c:v>297.98</c:v>
                </c:pt>
                <c:pt idx="5">
                  <c:v>372.6</c:v>
                </c:pt>
                <c:pt idx="6">
                  <c:v>447.22</c:v>
                </c:pt>
                <c:pt idx="7">
                  <c:v>521.84</c:v>
                </c:pt>
                <c:pt idx="8">
                  <c:v>596.46</c:v>
                </c:pt>
                <c:pt idx="9">
                  <c:v>671.08</c:v>
                </c:pt>
                <c:pt idx="10">
                  <c:v>745.7</c:v>
                </c:pt>
                <c:pt idx="11">
                  <c:v>820.32</c:v>
                </c:pt>
                <c:pt idx="12">
                  <c:v>894.94</c:v>
                </c:pt>
              </c:numCache>
            </c:numRef>
          </c:cat>
          <c:val>
            <c:numRef>
              <c:f>Hoja3!$H$7:$H$19</c:f>
              <c:numCache>
                <c:formatCode>General</c:formatCode>
                <c:ptCount val="13"/>
                <c:pt idx="0">
                  <c:v>51</c:v>
                </c:pt>
                <c:pt idx="1">
                  <c:v>63</c:v>
                </c:pt>
                <c:pt idx="2">
                  <c:v>19</c:v>
                </c:pt>
                <c:pt idx="3">
                  <c:v>5</c:v>
                </c:pt>
                <c:pt idx="4">
                  <c:v>13</c:v>
                </c:pt>
                <c:pt idx="5">
                  <c:v>5</c:v>
                </c:pt>
                <c:pt idx="6">
                  <c:v>6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E4-41EF-A069-73F5CABCA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60272"/>
        <c:axId val="96059792"/>
      </c:lineChart>
      <c:catAx>
        <c:axId val="9606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059792"/>
        <c:crosses val="autoZero"/>
        <c:auto val="1"/>
        <c:lblAlgn val="ctr"/>
        <c:lblOffset val="100"/>
        <c:noMultiLvlLbl val="0"/>
      </c:catAx>
      <c:valAx>
        <c:axId val="9605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06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411480</xdr:colOff>
      <xdr:row>2</xdr:row>
      <xdr:rowOff>26670</xdr:rowOff>
    </xdr:from>
    <xdr:to>
      <xdr:col>17</xdr:col>
      <xdr:colOff>228600</xdr:colOff>
      <xdr:row>16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D9CF81-A72E-646E-E6CE-8CDEA2A1F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411480</xdr:colOff>
      <xdr:row>17</xdr:row>
      <xdr:rowOff>41910</xdr:rowOff>
    </xdr:from>
    <xdr:to>
      <xdr:col>17</xdr:col>
      <xdr:colOff>228600</xdr:colOff>
      <xdr:row>31</xdr:row>
      <xdr:rowOff>118110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9B3B18-69A2-900B-EACB-601DB5395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20</xdr:row>
      <xdr:rowOff>3810</xdr:rowOff>
    </xdr:from>
    <xdr:to>
      <xdr:col>8</xdr:col>
      <xdr:colOff>579120</xdr:colOff>
      <xdr:row>34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D27A64-CC72-7601-1127-E6F8FA82A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34</xdr:row>
      <xdr:rowOff>163830</xdr:rowOff>
    </xdr:from>
    <xdr:to>
      <xdr:col>8</xdr:col>
      <xdr:colOff>617220</xdr:colOff>
      <xdr:row>49</xdr:row>
      <xdr:rowOff>49530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DEF73A-A395-06B8-6A3B-52CC4F2AD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21</xdr:row>
      <xdr:rowOff>140970</xdr:rowOff>
    </xdr:from>
    <xdr:to>
      <xdr:col>8</xdr:col>
      <xdr:colOff>624840</xdr:colOff>
      <xdr:row>36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0580F7-1F0D-C66C-2261-4F8F7EBE7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746760</xdr:colOff>
      <xdr:row>38</xdr:row>
      <xdr:rowOff>41910</xdr:rowOff>
    </xdr:from>
    <xdr:to>
      <xdr:col>8</xdr:col>
      <xdr:colOff>563880</xdr:colOff>
      <xdr:row>53</xdr:row>
      <xdr:rowOff>41910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9EE21F-56A9-623E-77BA-CB91AD990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2198-AEC5-49B9-A2FA-CD8280632CC8}">
  <dimension ref="A1:K171"/>
  <sheetViews>
    <sheetView tabSelected="1" zoomScale="91" zoomScaleNormal="91" workbookViewId="0"/>
  </sheetViews>
  <sheetFormatPr baseColWidth="10" defaultRowHeight="14.4" x14ac:dyDescent="0.3"/>
  <cols>
    <col min="1" max="1" width="38.21875" customWidth="1"/>
    <col min="8" max="8" width="6.109375" customWidth="1"/>
    <col min="9" max="9" width="5.77734375" customWidth="1"/>
    <col min="10" max="10" width="5.44140625" customWidth="1"/>
  </cols>
  <sheetData>
    <row r="1" spans="1:11" ht="27" thickBot="1" x14ac:dyDescent="0.35">
      <c r="A1" s="4" t="s">
        <v>11</v>
      </c>
    </row>
    <row r="2" spans="1:11" ht="15" thickBot="1" x14ac:dyDescent="0.35">
      <c r="A2" s="1">
        <v>300</v>
      </c>
      <c r="D2" t="s">
        <v>12</v>
      </c>
      <c r="E2">
        <f>+MIN(A2:A171)</f>
        <v>12</v>
      </c>
      <c r="F2" t="s">
        <v>0</v>
      </c>
      <c r="G2">
        <v>170</v>
      </c>
    </row>
    <row r="3" spans="1:11" ht="15" thickBot="1" x14ac:dyDescent="0.35">
      <c r="A3" s="2">
        <v>240</v>
      </c>
      <c r="D3" t="s">
        <v>13</v>
      </c>
      <c r="E3">
        <f>MAX(A2:A171)</f>
        <v>4800</v>
      </c>
      <c r="F3" t="s">
        <v>2</v>
      </c>
      <c r="G3">
        <f>ROUND(SQRT(G2),0)</f>
        <v>13</v>
      </c>
    </row>
    <row r="4" spans="1:11" ht="15" thickBot="1" x14ac:dyDescent="0.35">
      <c r="A4" s="1">
        <v>360</v>
      </c>
      <c r="D4" t="s">
        <v>3</v>
      </c>
      <c r="E4">
        <f>(E3-E2)</f>
        <v>4788</v>
      </c>
      <c r="F4" t="s">
        <v>1</v>
      </c>
      <c r="G4">
        <f>ROUND(E4/G3,2)</f>
        <v>368.31</v>
      </c>
    </row>
    <row r="5" spans="1:11" ht="15" thickBot="1" x14ac:dyDescent="0.35">
      <c r="A5" s="2">
        <v>420</v>
      </c>
    </row>
    <row r="6" spans="1:11" ht="15" thickBot="1" x14ac:dyDescent="0.35">
      <c r="A6" s="1">
        <v>400</v>
      </c>
      <c r="D6" t="s">
        <v>4</v>
      </c>
      <c r="E6" t="s">
        <v>14</v>
      </c>
      <c r="F6" t="s">
        <v>5</v>
      </c>
      <c r="G6" s="5" t="s">
        <v>6</v>
      </c>
      <c r="H6" t="s">
        <v>7</v>
      </c>
      <c r="I6" s="5" t="s">
        <v>8</v>
      </c>
      <c r="J6" t="s">
        <v>9</v>
      </c>
      <c r="K6" s="5" t="s">
        <v>10</v>
      </c>
    </row>
    <row r="7" spans="1:11" ht="15" thickBot="1" x14ac:dyDescent="0.35">
      <c r="A7" s="2">
        <v>180</v>
      </c>
      <c r="D7">
        <v>1</v>
      </c>
      <c r="E7">
        <f>+E2-0.5</f>
        <v>11.5</v>
      </c>
      <c r="F7">
        <f>+E7+G4</f>
        <v>379.81</v>
      </c>
      <c r="G7">
        <f>+ROUND(AVERAGE(E7:F7),2)</f>
        <v>195.66</v>
      </c>
      <c r="H7" cm="1">
        <f t="array" ref="H7:H19">+FREQUENCY(A2:A171,F7:F18)</f>
        <v>77</v>
      </c>
      <c r="I7">
        <f>+ROUND(H7/$H$20,2)</f>
        <v>0.45</v>
      </c>
      <c r="J7">
        <f>+H7</f>
        <v>77</v>
      </c>
      <c r="K7">
        <f>+I7</f>
        <v>0.45</v>
      </c>
    </row>
    <row r="8" spans="1:11" ht="15" thickBot="1" x14ac:dyDescent="0.35">
      <c r="A8" s="1">
        <v>420</v>
      </c>
      <c r="D8">
        <v>2</v>
      </c>
      <c r="E8">
        <f>+F7</f>
        <v>379.81</v>
      </c>
      <c r="F8">
        <f>+E8+$G$4</f>
        <v>748.12</v>
      </c>
      <c r="G8">
        <f t="shared" ref="G8:G19" si="0">+ROUND(AVERAGE(E8:F8),2)</f>
        <v>563.97</v>
      </c>
      <c r="H8">
        <v>80</v>
      </c>
      <c r="I8">
        <f t="shared" ref="I8:I19" si="1">+ROUND(H8/$H$20,2)</f>
        <v>0.47</v>
      </c>
      <c r="J8">
        <f>+J7+H8</f>
        <v>157</v>
      </c>
      <c r="K8">
        <f>+K7+I8</f>
        <v>0.91999999999999993</v>
      </c>
    </row>
    <row r="9" spans="1:11" ht="15" thickBot="1" x14ac:dyDescent="0.35">
      <c r="A9" s="2">
        <v>360</v>
      </c>
      <c r="D9">
        <v>3</v>
      </c>
      <c r="E9">
        <f t="shared" ref="E9:E19" si="2">+F8</f>
        <v>748.12</v>
      </c>
      <c r="F9">
        <f t="shared" ref="F9:F19" si="3">+E9+$G$4</f>
        <v>1116.43</v>
      </c>
      <c r="G9">
        <f t="shared" si="0"/>
        <v>932.28</v>
      </c>
      <c r="H9">
        <v>2</v>
      </c>
      <c r="I9">
        <f t="shared" si="1"/>
        <v>0.01</v>
      </c>
      <c r="J9">
        <f t="shared" ref="J9:J19" si="4">+J8+H9</f>
        <v>159</v>
      </c>
      <c r="K9">
        <f t="shared" ref="K9:K19" si="5">+K8+I9</f>
        <v>0.92999999999999994</v>
      </c>
    </row>
    <row r="10" spans="1:11" ht="15" thickBot="1" x14ac:dyDescent="0.35">
      <c r="A10" s="1">
        <v>360</v>
      </c>
      <c r="D10">
        <v>4</v>
      </c>
      <c r="E10">
        <f t="shared" si="2"/>
        <v>1116.43</v>
      </c>
      <c r="F10">
        <f t="shared" si="3"/>
        <v>1484.74</v>
      </c>
      <c r="G10">
        <f t="shared" si="0"/>
        <v>1300.5899999999999</v>
      </c>
      <c r="H10">
        <v>2</v>
      </c>
      <c r="I10">
        <f t="shared" si="1"/>
        <v>0.01</v>
      </c>
      <c r="J10">
        <f t="shared" si="4"/>
        <v>161</v>
      </c>
      <c r="K10">
        <f t="shared" si="5"/>
        <v>0.94</v>
      </c>
    </row>
    <row r="11" spans="1:11" ht="15" thickBot="1" x14ac:dyDescent="0.35">
      <c r="A11" s="2">
        <v>360</v>
      </c>
      <c r="D11">
        <v>5</v>
      </c>
      <c r="E11">
        <f t="shared" si="2"/>
        <v>1484.74</v>
      </c>
      <c r="F11">
        <f t="shared" si="3"/>
        <v>1853.05</v>
      </c>
      <c r="G11">
        <f t="shared" si="0"/>
        <v>1668.9</v>
      </c>
      <c r="H11">
        <v>4</v>
      </c>
      <c r="I11">
        <f t="shared" si="1"/>
        <v>0.02</v>
      </c>
      <c r="J11">
        <f t="shared" si="4"/>
        <v>165</v>
      </c>
      <c r="K11">
        <f t="shared" si="5"/>
        <v>0.96</v>
      </c>
    </row>
    <row r="12" spans="1:11" ht="15" thickBot="1" x14ac:dyDescent="0.35">
      <c r="A12" s="1">
        <v>360</v>
      </c>
      <c r="C12" t="s">
        <v>15</v>
      </c>
      <c r="D12">
        <v>6</v>
      </c>
      <c r="E12">
        <f t="shared" si="2"/>
        <v>1853.05</v>
      </c>
      <c r="F12">
        <f t="shared" si="3"/>
        <v>2221.36</v>
      </c>
      <c r="G12">
        <f t="shared" si="0"/>
        <v>2037.21</v>
      </c>
      <c r="H12">
        <v>2</v>
      </c>
      <c r="I12">
        <f t="shared" si="1"/>
        <v>0.01</v>
      </c>
      <c r="J12">
        <f t="shared" si="4"/>
        <v>167</v>
      </c>
      <c r="K12">
        <f t="shared" si="5"/>
        <v>0.97</v>
      </c>
    </row>
    <row r="13" spans="1:11" ht="15" thickBot="1" x14ac:dyDescent="0.35">
      <c r="A13" s="2">
        <v>360</v>
      </c>
      <c r="D13">
        <v>7</v>
      </c>
      <c r="E13">
        <f t="shared" si="2"/>
        <v>2221.36</v>
      </c>
      <c r="F13">
        <f t="shared" si="3"/>
        <v>2589.67</v>
      </c>
      <c r="G13">
        <f t="shared" si="0"/>
        <v>2405.52</v>
      </c>
      <c r="H13">
        <v>2</v>
      </c>
      <c r="I13">
        <f t="shared" si="1"/>
        <v>0.01</v>
      </c>
      <c r="J13">
        <f t="shared" si="4"/>
        <v>169</v>
      </c>
      <c r="K13">
        <f t="shared" si="5"/>
        <v>0.98</v>
      </c>
    </row>
    <row r="14" spans="1:11" ht="15" thickBot="1" x14ac:dyDescent="0.35">
      <c r="A14" s="1">
        <v>360</v>
      </c>
      <c r="D14">
        <v>8</v>
      </c>
      <c r="E14">
        <f t="shared" si="2"/>
        <v>2589.67</v>
      </c>
      <c r="F14">
        <f t="shared" si="3"/>
        <v>2957.98</v>
      </c>
      <c r="G14">
        <f t="shared" si="0"/>
        <v>2773.83</v>
      </c>
      <c r="H14">
        <v>0</v>
      </c>
      <c r="I14">
        <f t="shared" si="1"/>
        <v>0</v>
      </c>
      <c r="J14">
        <f t="shared" si="4"/>
        <v>169</v>
      </c>
      <c r="K14">
        <f t="shared" si="5"/>
        <v>0.98</v>
      </c>
    </row>
    <row r="15" spans="1:11" ht="15" thickBot="1" x14ac:dyDescent="0.35">
      <c r="A15" s="2">
        <v>360</v>
      </c>
      <c r="D15">
        <v>9</v>
      </c>
      <c r="E15">
        <f t="shared" si="2"/>
        <v>2957.98</v>
      </c>
      <c r="F15">
        <f t="shared" si="3"/>
        <v>3326.29</v>
      </c>
      <c r="G15">
        <f t="shared" si="0"/>
        <v>3142.14</v>
      </c>
      <c r="H15">
        <v>0</v>
      </c>
      <c r="I15">
        <f t="shared" si="1"/>
        <v>0</v>
      </c>
      <c r="J15">
        <f t="shared" si="4"/>
        <v>169</v>
      </c>
      <c r="K15">
        <f t="shared" si="5"/>
        <v>0.98</v>
      </c>
    </row>
    <row r="16" spans="1:11" ht="15" thickBot="1" x14ac:dyDescent="0.35">
      <c r="A16" s="1">
        <v>360</v>
      </c>
      <c r="D16">
        <v>10</v>
      </c>
      <c r="E16">
        <f t="shared" si="2"/>
        <v>3326.29</v>
      </c>
      <c r="F16">
        <f t="shared" si="3"/>
        <v>3694.6</v>
      </c>
      <c r="G16">
        <f t="shared" si="0"/>
        <v>3510.45</v>
      </c>
      <c r="H16">
        <v>0</v>
      </c>
      <c r="I16">
        <f t="shared" si="1"/>
        <v>0</v>
      </c>
      <c r="J16">
        <f t="shared" si="4"/>
        <v>169</v>
      </c>
      <c r="K16">
        <f t="shared" si="5"/>
        <v>0.98</v>
      </c>
    </row>
    <row r="17" spans="1:11" ht="15" thickBot="1" x14ac:dyDescent="0.35">
      <c r="A17" s="2">
        <v>180</v>
      </c>
      <c r="D17">
        <v>11</v>
      </c>
      <c r="E17">
        <f t="shared" si="2"/>
        <v>3694.6</v>
      </c>
      <c r="F17">
        <f t="shared" si="3"/>
        <v>4062.91</v>
      </c>
      <c r="G17">
        <f t="shared" si="0"/>
        <v>3878.76</v>
      </c>
      <c r="H17">
        <v>0</v>
      </c>
      <c r="I17">
        <f t="shared" si="1"/>
        <v>0</v>
      </c>
      <c r="J17">
        <f t="shared" si="4"/>
        <v>169</v>
      </c>
      <c r="K17">
        <f t="shared" si="5"/>
        <v>0.98</v>
      </c>
    </row>
    <row r="18" spans="1:11" ht="15" thickBot="1" x14ac:dyDescent="0.35">
      <c r="A18" s="1">
        <v>240</v>
      </c>
      <c r="D18">
        <v>12</v>
      </c>
      <c r="E18">
        <f t="shared" si="2"/>
        <v>4062.91</v>
      </c>
      <c r="F18">
        <f t="shared" si="3"/>
        <v>4431.22</v>
      </c>
      <c r="G18">
        <f t="shared" si="0"/>
        <v>4247.07</v>
      </c>
      <c r="H18">
        <v>0</v>
      </c>
      <c r="I18">
        <f t="shared" si="1"/>
        <v>0</v>
      </c>
      <c r="J18">
        <f t="shared" si="4"/>
        <v>169</v>
      </c>
      <c r="K18">
        <f t="shared" si="5"/>
        <v>0.98</v>
      </c>
    </row>
    <row r="19" spans="1:11" ht="15" thickBot="1" x14ac:dyDescent="0.35">
      <c r="A19" s="2">
        <v>180</v>
      </c>
      <c r="D19">
        <v>13</v>
      </c>
      <c r="E19">
        <f t="shared" si="2"/>
        <v>4431.22</v>
      </c>
      <c r="F19">
        <f t="shared" si="3"/>
        <v>4799.5300000000007</v>
      </c>
      <c r="G19">
        <f t="shared" si="0"/>
        <v>4615.38</v>
      </c>
      <c r="H19">
        <v>1</v>
      </c>
      <c r="I19">
        <f t="shared" si="1"/>
        <v>0.01</v>
      </c>
      <c r="J19">
        <f t="shared" si="4"/>
        <v>170</v>
      </c>
      <c r="K19">
        <f t="shared" si="5"/>
        <v>0.99</v>
      </c>
    </row>
    <row r="20" spans="1:11" ht="15" thickBot="1" x14ac:dyDescent="0.35">
      <c r="A20" s="1">
        <v>480</v>
      </c>
      <c r="H20">
        <f>SUM(_xlfn.ANCHORARRAY(H7))</f>
        <v>170</v>
      </c>
      <c r="I20">
        <f>ROUND(SUM(I7:I19),0)</f>
        <v>1</v>
      </c>
    </row>
    <row r="21" spans="1:11" ht="15" thickBot="1" x14ac:dyDescent="0.35">
      <c r="A21" s="2">
        <v>300</v>
      </c>
    </row>
    <row r="22" spans="1:11" ht="15" thickBot="1" x14ac:dyDescent="0.35">
      <c r="A22" s="1">
        <v>180</v>
      </c>
    </row>
    <row r="23" spans="1:11" ht="15" thickBot="1" x14ac:dyDescent="0.35">
      <c r="A23" s="2">
        <v>360</v>
      </c>
    </row>
    <row r="24" spans="1:11" ht="15" thickBot="1" x14ac:dyDescent="0.35">
      <c r="A24" s="1">
        <v>360</v>
      </c>
    </row>
    <row r="25" spans="1:11" ht="15" thickBot="1" x14ac:dyDescent="0.35">
      <c r="A25" s="2">
        <v>390</v>
      </c>
    </row>
    <row r="26" spans="1:11" ht="15" thickBot="1" x14ac:dyDescent="0.35">
      <c r="A26" s="1">
        <v>360</v>
      </c>
    </row>
    <row r="27" spans="1:11" ht="15" thickBot="1" x14ac:dyDescent="0.35">
      <c r="A27" s="2">
        <v>360</v>
      </c>
    </row>
    <row r="28" spans="1:11" ht="15" thickBot="1" x14ac:dyDescent="0.35">
      <c r="A28" s="1">
        <v>480</v>
      </c>
    </row>
    <row r="29" spans="1:11" ht="15" thickBot="1" x14ac:dyDescent="0.35">
      <c r="A29" s="2">
        <v>660</v>
      </c>
    </row>
    <row r="30" spans="1:11" ht="15" thickBot="1" x14ac:dyDescent="0.35">
      <c r="A30" s="1">
        <v>660</v>
      </c>
    </row>
    <row r="31" spans="1:11" ht="15" thickBot="1" x14ac:dyDescent="0.35">
      <c r="A31" s="2">
        <v>840</v>
      </c>
    </row>
    <row r="32" spans="1:11" ht="15" thickBot="1" x14ac:dyDescent="0.35">
      <c r="A32" s="1">
        <v>300</v>
      </c>
    </row>
    <row r="33" spans="1:1" ht="15" thickBot="1" x14ac:dyDescent="0.35">
      <c r="A33" s="2">
        <v>240</v>
      </c>
    </row>
    <row r="34" spans="1:1" ht="15" thickBot="1" x14ac:dyDescent="0.35">
      <c r="A34" s="1">
        <v>600</v>
      </c>
    </row>
    <row r="35" spans="1:1" ht="15" thickBot="1" x14ac:dyDescent="0.35">
      <c r="A35" s="3">
        <v>1036</v>
      </c>
    </row>
    <row r="36" spans="1:1" ht="15" thickBot="1" x14ac:dyDescent="0.35">
      <c r="A36" s="1">
        <v>300</v>
      </c>
    </row>
    <row r="37" spans="1:1" ht="15" thickBot="1" x14ac:dyDescent="0.35">
      <c r="A37" s="2">
        <v>360</v>
      </c>
    </row>
    <row r="38" spans="1:1" ht="15" thickBot="1" x14ac:dyDescent="0.35">
      <c r="A38" s="1">
        <v>360</v>
      </c>
    </row>
    <row r="39" spans="1:1" ht="15" thickBot="1" x14ac:dyDescent="0.35">
      <c r="A39" s="2">
        <v>480</v>
      </c>
    </row>
    <row r="40" spans="1:1" ht="15" thickBot="1" x14ac:dyDescent="0.35">
      <c r="A40" s="1">
        <v>360</v>
      </c>
    </row>
    <row r="41" spans="1:1" ht="15" thickBot="1" x14ac:dyDescent="0.35">
      <c r="A41" s="2">
        <v>360</v>
      </c>
    </row>
    <row r="42" spans="1:1" ht="15" thickBot="1" x14ac:dyDescent="0.35">
      <c r="A42" s="1">
        <v>500</v>
      </c>
    </row>
    <row r="43" spans="1:1" ht="15" thickBot="1" x14ac:dyDescent="0.35">
      <c r="A43" s="2">
        <v>480</v>
      </c>
    </row>
    <row r="44" spans="1:1" ht="15" thickBot="1" x14ac:dyDescent="0.35">
      <c r="A44" s="1">
        <v>420</v>
      </c>
    </row>
    <row r="45" spans="1:1" ht="15" thickBot="1" x14ac:dyDescent="0.35">
      <c r="A45" s="2">
        <v>420</v>
      </c>
    </row>
    <row r="46" spans="1:1" ht="15" thickBot="1" x14ac:dyDescent="0.35">
      <c r="A46" s="1">
        <v>600</v>
      </c>
    </row>
    <row r="47" spans="1:1" ht="15" thickBot="1" x14ac:dyDescent="0.35">
      <c r="A47" s="2">
        <v>600</v>
      </c>
    </row>
    <row r="48" spans="1:1" ht="15" thickBot="1" x14ac:dyDescent="0.35">
      <c r="A48" s="1">
        <v>180</v>
      </c>
    </row>
    <row r="49" spans="1:1" ht="15" thickBot="1" x14ac:dyDescent="0.35">
      <c r="A49" s="2">
        <v>480</v>
      </c>
    </row>
    <row r="50" spans="1:1" ht="15" thickBot="1" x14ac:dyDescent="0.35">
      <c r="A50" s="1">
        <v>4800</v>
      </c>
    </row>
    <row r="51" spans="1:1" ht="15" thickBot="1" x14ac:dyDescent="0.35">
      <c r="A51" s="2">
        <v>360</v>
      </c>
    </row>
    <row r="52" spans="1:1" ht="15" thickBot="1" x14ac:dyDescent="0.35">
      <c r="A52" s="1">
        <v>480</v>
      </c>
    </row>
    <row r="53" spans="1:1" ht="15" thickBot="1" x14ac:dyDescent="0.35">
      <c r="A53" s="2">
        <v>360</v>
      </c>
    </row>
    <row r="54" spans="1:1" ht="15" thickBot="1" x14ac:dyDescent="0.35">
      <c r="A54" s="1">
        <v>336</v>
      </c>
    </row>
    <row r="55" spans="1:1" ht="15" thickBot="1" x14ac:dyDescent="0.35">
      <c r="A55" s="2">
        <v>480</v>
      </c>
    </row>
    <row r="56" spans="1:1" ht="15" thickBot="1" x14ac:dyDescent="0.35">
      <c r="A56" s="1">
        <v>360</v>
      </c>
    </row>
    <row r="57" spans="1:1" ht="15" thickBot="1" x14ac:dyDescent="0.35">
      <c r="A57" s="2">
        <v>330</v>
      </c>
    </row>
    <row r="58" spans="1:1" ht="15" thickBot="1" x14ac:dyDescent="0.35">
      <c r="A58" s="1">
        <v>600</v>
      </c>
    </row>
    <row r="59" spans="1:1" ht="15" thickBot="1" x14ac:dyDescent="0.35">
      <c r="A59" s="2">
        <v>420</v>
      </c>
    </row>
    <row r="60" spans="1:1" ht="15" thickBot="1" x14ac:dyDescent="0.35">
      <c r="A60" s="1">
        <v>1440</v>
      </c>
    </row>
    <row r="61" spans="1:1" ht="15" thickBot="1" x14ac:dyDescent="0.35">
      <c r="A61" s="2">
        <v>480</v>
      </c>
    </row>
    <row r="62" spans="1:1" ht="15" thickBot="1" x14ac:dyDescent="0.35">
      <c r="A62" s="1">
        <v>600</v>
      </c>
    </row>
    <row r="63" spans="1:1" ht="15" thickBot="1" x14ac:dyDescent="0.35">
      <c r="A63" s="2">
        <v>480</v>
      </c>
    </row>
    <row r="64" spans="1:1" ht="15" thickBot="1" x14ac:dyDescent="0.35">
      <c r="A64" s="1">
        <v>360</v>
      </c>
    </row>
    <row r="65" spans="1:1" ht="15" thickBot="1" x14ac:dyDescent="0.35">
      <c r="A65" s="2">
        <v>360</v>
      </c>
    </row>
    <row r="66" spans="1:1" ht="15" thickBot="1" x14ac:dyDescent="0.35">
      <c r="A66" s="1">
        <v>44</v>
      </c>
    </row>
    <row r="67" spans="1:1" ht="15" thickBot="1" x14ac:dyDescent="0.35">
      <c r="A67" s="2">
        <v>400</v>
      </c>
    </row>
    <row r="68" spans="1:1" ht="15" thickBot="1" x14ac:dyDescent="0.35">
      <c r="A68" s="1">
        <v>480</v>
      </c>
    </row>
    <row r="69" spans="1:1" ht="15" thickBot="1" x14ac:dyDescent="0.35">
      <c r="A69" s="2">
        <v>360</v>
      </c>
    </row>
    <row r="70" spans="1:1" ht="15" thickBot="1" x14ac:dyDescent="0.35">
      <c r="A70" s="1">
        <v>420</v>
      </c>
    </row>
    <row r="71" spans="1:1" ht="15" thickBot="1" x14ac:dyDescent="0.35">
      <c r="A71" s="2">
        <v>360</v>
      </c>
    </row>
    <row r="72" spans="1:1" ht="15" thickBot="1" x14ac:dyDescent="0.35">
      <c r="A72" s="1">
        <v>480</v>
      </c>
    </row>
    <row r="73" spans="1:1" ht="15" thickBot="1" x14ac:dyDescent="0.35">
      <c r="A73" s="2">
        <v>720</v>
      </c>
    </row>
    <row r="74" spans="1:1" ht="15" thickBot="1" x14ac:dyDescent="0.35">
      <c r="A74" s="1">
        <v>360</v>
      </c>
    </row>
    <row r="75" spans="1:1" ht="15" thickBot="1" x14ac:dyDescent="0.35">
      <c r="A75" s="2">
        <v>240</v>
      </c>
    </row>
    <row r="76" spans="1:1" ht="15" thickBot="1" x14ac:dyDescent="0.35">
      <c r="A76" s="1">
        <v>540</v>
      </c>
    </row>
    <row r="77" spans="1:1" ht="15" thickBot="1" x14ac:dyDescent="0.35">
      <c r="A77" s="2">
        <v>660</v>
      </c>
    </row>
    <row r="78" spans="1:1" ht="15" thickBot="1" x14ac:dyDescent="0.35">
      <c r="A78" s="1">
        <v>480</v>
      </c>
    </row>
    <row r="79" spans="1:1" ht="15" thickBot="1" x14ac:dyDescent="0.35">
      <c r="A79" s="2">
        <v>360</v>
      </c>
    </row>
    <row r="80" spans="1:1" ht="15" thickBot="1" x14ac:dyDescent="0.35">
      <c r="A80" s="1">
        <v>480</v>
      </c>
    </row>
    <row r="81" spans="1:1" ht="15" thickBot="1" x14ac:dyDescent="0.35">
      <c r="A81" s="2">
        <v>400</v>
      </c>
    </row>
    <row r="82" spans="1:1" ht="15" thickBot="1" x14ac:dyDescent="0.35">
      <c r="A82" s="1">
        <v>360</v>
      </c>
    </row>
    <row r="83" spans="1:1" ht="15" thickBot="1" x14ac:dyDescent="0.35">
      <c r="A83" s="2">
        <v>180</v>
      </c>
    </row>
    <row r="84" spans="1:1" ht="15" thickBot="1" x14ac:dyDescent="0.35">
      <c r="A84" s="1">
        <v>360</v>
      </c>
    </row>
    <row r="85" spans="1:1" ht="15" thickBot="1" x14ac:dyDescent="0.35">
      <c r="A85" s="2">
        <v>250</v>
      </c>
    </row>
    <row r="86" spans="1:1" ht="15" thickBot="1" x14ac:dyDescent="0.35">
      <c r="A86" s="1">
        <v>600</v>
      </c>
    </row>
    <row r="87" spans="1:1" ht="15" thickBot="1" x14ac:dyDescent="0.35">
      <c r="A87" s="2">
        <v>600</v>
      </c>
    </row>
    <row r="88" spans="1:1" ht="15" thickBot="1" x14ac:dyDescent="0.35">
      <c r="A88" s="1">
        <v>600</v>
      </c>
    </row>
    <row r="89" spans="1:1" ht="15" thickBot="1" x14ac:dyDescent="0.35">
      <c r="A89" s="2">
        <v>720</v>
      </c>
    </row>
    <row r="90" spans="1:1" ht="15" thickBot="1" x14ac:dyDescent="0.35">
      <c r="A90" s="1">
        <v>600</v>
      </c>
    </row>
    <row r="91" spans="1:1" ht="15" thickBot="1" x14ac:dyDescent="0.35">
      <c r="A91" s="2">
        <v>480</v>
      </c>
    </row>
    <row r="92" spans="1:1" ht="15" thickBot="1" x14ac:dyDescent="0.35">
      <c r="A92" s="1">
        <v>600</v>
      </c>
    </row>
    <row r="93" spans="1:1" ht="15" thickBot="1" x14ac:dyDescent="0.35">
      <c r="A93" s="2">
        <v>1800</v>
      </c>
    </row>
    <row r="94" spans="1:1" ht="15" thickBot="1" x14ac:dyDescent="0.35">
      <c r="A94" s="1">
        <v>2100</v>
      </c>
    </row>
    <row r="95" spans="1:1" ht="15" thickBot="1" x14ac:dyDescent="0.35">
      <c r="A95" s="2">
        <v>1500</v>
      </c>
    </row>
    <row r="96" spans="1:1" ht="15" thickBot="1" x14ac:dyDescent="0.35">
      <c r="A96" s="1">
        <v>2100</v>
      </c>
    </row>
    <row r="97" spans="1:1" ht="15" thickBot="1" x14ac:dyDescent="0.35">
      <c r="A97" s="2">
        <v>1700</v>
      </c>
    </row>
    <row r="98" spans="1:1" ht="15" thickBot="1" x14ac:dyDescent="0.35">
      <c r="A98" s="1">
        <v>480</v>
      </c>
    </row>
    <row r="99" spans="1:1" ht="15" thickBot="1" x14ac:dyDescent="0.35">
      <c r="A99" s="2">
        <v>360</v>
      </c>
    </row>
    <row r="100" spans="1:1" ht="15" thickBot="1" x14ac:dyDescent="0.35">
      <c r="A100" s="1">
        <v>12</v>
      </c>
    </row>
    <row r="101" spans="1:1" ht="15" thickBot="1" x14ac:dyDescent="0.35">
      <c r="A101" s="2">
        <v>360</v>
      </c>
    </row>
    <row r="102" spans="1:1" ht="15" thickBot="1" x14ac:dyDescent="0.35">
      <c r="A102" s="1">
        <v>480</v>
      </c>
    </row>
    <row r="103" spans="1:1" ht="15" thickBot="1" x14ac:dyDescent="0.35">
      <c r="A103" s="2">
        <v>360</v>
      </c>
    </row>
    <row r="104" spans="1:1" ht="15" thickBot="1" x14ac:dyDescent="0.35">
      <c r="A104" s="1">
        <v>480</v>
      </c>
    </row>
    <row r="105" spans="1:1" ht="15" thickBot="1" x14ac:dyDescent="0.35">
      <c r="A105" s="2">
        <v>600</v>
      </c>
    </row>
    <row r="106" spans="1:1" ht="15" thickBot="1" x14ac:dyDescent="0.35">
      <c r="A106" s="1">
        <v>540</v>
      </c>
    </row>
    <row r="107" spans="1:1" ht="15" thickBot="1" x14ac:dyDescent="0.35">
      <c r="A107" s="2">
        <v>360</v>
      </c>
    </row>
    <row r="108" spans="1:1" ht="15" thickBot="1" x14ac:dyDescent="0.35">
      <c r="A108" s="1">
        <v>540</v>
      </c>
    </row>
    <row r="109" spans="1:1" ht="15" thickBot="1" x14ac:dyDescent="0.35">
      <c r="A109" s="2">
        <v>420</v>
      </c>
    </row>
    <row r="110" spans="1:1" ht="15" thickBot="1" x14ac:dyDescent="0.35">
      <c r="A110" s="1">
        <v>480</v>
      </c>
    </row>
    <row r="111" spans="1:1" ht="15" thickBot="1" x14ac:dyDescent="0.35">
      <c r="A111" s="2">
        <v>480</v>
      </c>
    </row>
    <row r="112" spans="1:1" ht="15" thickBot="1" x14ac:dyDescent="0.35">
      <c r="A112" s="1">
        <v>600</v>
      </c>
    </row>
    <row r="113" spans="1:1" ht="15" thickBot="1" x14ac:dyDescent="0.35">
      <c r="A113" s="2">
        <v>480</v>
      </c>
    </row>
    <row r="114" spans="1:1" ht="15" thickBot="1" x14ac:dyDescent="0.35">
      <c r="A114" s="1">
        <v>300</v>
      </c>
    </row>
    <row r="115" spans="1:1" ht="15" thickBot="1" x14ac:dyDescent="0.35">
      <c r="A115" s="2">
        <v>90</v>
      </c>
    </row>
    <row r="116" spans="1:1" ht="15" thickBot="1" x14ac:dyDescent="0.35">
      <c r="A116" s="1">
        <v>600</v>
      </c>
    </row>
    <row r="117" spans="1:1" ht="15" thickBot="1" x14ac:dyDescent="0.35">
      <c r="A117" s="2">
        <v>480</v>
      </c>
    </row>
    <row r="118" spans="1:1" ht="15" thickBot="1" x14ac:dyDescent="0.35">
      <c r="A118" s="1">
        <v>480</v>
      </c>
    </row>
    <row r="119" spans="1:1" ht="15" thickBot="1" x14ac:dyDescent="0.35">
      <c r="A119" s="2">
        <v>360</v>
      </c>
    </row>
    <row r="120" spans="1:1" ht="15" thickBot="1" x14ac:dyDescent="0.35">
      <c r="A120" s="1">
        <v>360</v>
      </c>
    </row>
    <row r="121" spans="1:1" ht="15" thickBot="1" x14ac:dyDescent="0.35">
      <c r="A121" s="2">
        <v>360</v>
      </c>
    </row>
    <row r="122" spans="1:1" ht="15" thickBot="1" x14ac:dyDescent="0.35">
      <c r="A122" s="1">
        <v>420</v>
      </c>
    </row>
    <row r="123" spans="1:1" ht="15" thickBot="1" x14ac:dyDescent="0.35">
      <c r="A123" s="2">
        <v>400</v>
      </c>
    </row>
    <row r="124" spans="1:1" ht="15" thickBot="1" x14ac:dyDescent="0.35">
      <c r="A124" s="1">
        <v>480</v>
      </c>
    </row>
    <row r="125" spans="1:1" ht="15" thickBot="1" x14ac:dyDescent="0.35">
      <c r="A125" s="2">
        <v>240</v>
      </c>
    </row>
    <row r="126" spans="1:1" ht="15" thickBot="1" x14ac:dyDescent="0.35">
      <c r="A126" s="1">
        <v>360</v>
      </c>
    </row>
    <row r="127" spans="1:1" ht="15" thickBot="1" x14ac:dyDescent="0.35">
      <c r="A127" s="2">
        <v>480</v>
      </c>
    </row>
    <row r="128" spans="1:1" ht="15" thickBot="1" x14ac:dyDescent="0.35">
      <c r="A128" s="1">
        <v>600</v>
      </c>
    </row>
    <row r="129" spans="1:1" ht="15" thickBot="1" x14ac:dyDescent="0.35">
      <c r="A129" s="2">
        <v>480</v>
      </c>
    </row>
    <row r="130" spans="1:1" ht="15" thickBot="1" x14ac:dyDescent="0.35">
      <c r="A130" s="1">
        <v>480</v>
      </c>
    </row>
    <row r="131" spans="1:1" ht="15" thickBot="1" x14ac:dyDescent="0.35">
      <c r="A131" s="2">
        <v>360</v>
      </c>
    </row>
    <row r="132" spans="1:1" ht="15" thickBot="1" x14ac:dyDescent="0.35">
      <c r="A132" s="1">
        <v>360</v>
      </c>
    </row>
    <row r="133" spans="1:1" ht="15" thickBot="1" x14ac:dyDescent="0.35">
      <c r="A133" s="2">
        <v>120</v>
      </c>
    </row>
    <row r="134" spans="1:1" ht="15" thickBot="1" x14ac:dyDescent="0.35">
      <c r="A134" s="1">
        <v>240</v>
      </c>
    </row>
    <row r="135" spans="1:1" ht="15" thickBot="1" x14ac:dyDescent="0.35">
      <c r="A135" s="2">
        <v>324</v>
      </c>
    </row>
    <row r="136" spans="1:1" ht="15" thickBot="1" x14ac:dyDescent="0.35">
      <c r="A136" s="1">
        <v>180</v>
      </c>
    </row>
    <row r="137" spans="1:1" ht="15" thickBot="1" x14ac:dyDescent="0.35">
      <c r="A137" s="2">
        <v>180</v>
      </c>
    </row>
    <row r="138" spans="1:1" ht="15" thickBot="1" x14ac:dyDescent="0.35">
      <c r="A138" s="1">
        <v>1680</v>
      </c>
    </row>
    <row r="139" spans="1:1" ht="15" thickBot="1" x14ac:dyDescent="0.35">
      <c r="A139" s="2">
        <v>180</v>
      </c>
    </row>
    <row r="140" spans="1:1" ht="15" thickBot="1" x14ac:dyDescent="0.35">
      <c r="A140" s="1">
        <v>2280</v>
      </c>
    </row>
    <row r="141" spans="1:1" ht="15" thickBot="1" x14ac:dyDescent="0.35">
      <c r="A141" s="2">
        <v>1320</v>
      </c>
    </row>
    <row r="142" spans="1:1" ht="15" thickBot="1" x14ac:dyDescent="0.35">
      <c r="A142" s="1">
        <v>2400</v>
      </c>
    </row>
    <row r="143" spans="1:1" ht="15" thickBot="1" x14ac:dyDescent="0.35">
      <c r="A143" s="2">
        <v>600</v>
      </c>
    </row>
    <row r="144" spans="1:1" ht="15" thickBot="1" x14ac:dyDescent="0.35">
      <c r="A144" s="1">
        <v>360</v>
      </c>
    </row>
    <row r="145" spans="1:1" ht="15" thickBot="1" x14ac:dyDescent="0.35">
      <c r="A145" s="2">
        <v>360</v>
      </c>
    </row>
    <row r="146" spans="1:1" ht="15" thickBot="1" x14ac:dyDescent="0.35">
      <c r="A146" s="1">
        <v>420</v>
      </c>
    </row>
    <row r="147" spans="1:1" ht="15" thickBot="1" x14ac:dyDescent="0.35">
      <c r="A147" s="2">
        <v>360</v>
      </c>
    </row>
    <row r="148" spans="1:1" ht="15" thickBot="1" x14ac:dyDescent="0.35">
      <c r="A148" s="1">
        <v>480</v>
      </c>
    </row>
    <row r="149" spans="1:1" ht="15" thickBot="1" x14ac:dyDescent="0.35">
      <c r="A149" s="2">
        <v>300</v>
      </c>
    </row>
    <row r="150" spans="1:1" ht="15" thickBot="1" x14ac:dyDescent="0.35">
      <c r="A150" s="1">
        <v>400</v>
      </c>
    </row>
    <row r="151" spans="1:1" ht="15" thickBot="1" x14ac:dyDescent="0.35">
      <c r="A151" s="2">
        <v>516</v>
      </c>
    </row>
    <row r="152" spans="1:1" ht="15" thickBot="1" x14ac:dyDescent="0.35">
      <c r="A152" s="1">
        <v>400</v>
      </c>
    </row>
    <row r="153" spans="1:1" ht="15" thickBot="1" x14ac:dyDescent="0.35">
      <c r="A153" s="2">
        <v>520</v>
      </c>
    </row>
    <row r="154" spans="1:1" ht="15" thickBot="1" x14ac:dyDescent="0.35">
      <c r="A154" s="1">
        <v>416</v>
      </c>
    </row>
    <row r="155" spans="1:1" ht="15" thickBot="1" x14ac:dyDescent="0.35">
      <c r="A155" s="2">
        <v>500</v>
      </c>
    </row>
    <row r="156" spans="1:1" ht="15" thickBot="1" x14ac:dyDescent="0.35">
      <c r="A156" s="1">
        <v>360</v>
      </c>
    </row>
    <row r="157" spans="1:1" ht="15" thickBot="1" x14ac:dyDescent="0.35">
      <c r="A157" s="2">
        <v>480</v>
      </c>
    </row>
    <row r="158" spans="1:1" ht="15" thickBot="1" x14ac:dyDescent="0.35">
      <c r="A158" s="1">
        <v>600</v>
      </c>
    </row>
    <row r="159" spans="1:1" ht="15" thickBot="1" x14ac:dyDescent="0.35">
      <c r="A159" s="2">
        <v>360</v>
      </c>
    </row>
    <row r="160" spans="1:1" ht="15" thickBot="1" x14ac:dyDescent="0.35">
      <c r="A160" s="1">
        <v>30</v>
      </c>
    </row>
    <row r="161" spans="1:1" ht="15" thickBot="1" x14ac:dyDescent="0.35">
      <c r="A161" s="2">
        <v>420</v>
      </c>
    </row>
    <row r="162" spans="1:1" ht="15" thickBot="1" x14ac:dyDescent="0.35">
      <c r="A162" s="1">
        <v>600</v>
      </c>
    </row>
    <row r="163" spans="1:1" ht="15" thickBot="1" x14ac:dyDescent="0.35">
      <c r="A163" s="2">
        <v>360</v>
      </c>
    </row>
    <row r="164" spans="1:1" ht="15" thickBot="1" x14ac:dyDescent="0.35">
      <c r="A164" s="1">
        <v>360</v>
      </c>
    </row>
    <row r="165" spans="1:1" ht="15" thickBot="1" x14ac:dyDescent="0.35">
      <c r="A165" s="2">
        <v>480</v>
      </c>
    </row>
    <row r="166" spans="1:1" ht="15" thickBot="1" x14ac:dyDescent="0.35">
      <c r="A166" s="1">
        <v>180</v>
      </c>
    </row>
    <row r="167" spans="1:1" ht="15" thickBot="1" x14ac:dyDescent="0.35">
      <c r="A167" s="2">
        <v>380</v>
      </c>
    </row>
    <row r="168" spans="1:1" ht="15" thickBot="1" x14ac:dyDescent="0.35">
      <c r="A168" s="1">
        <v>430</v>
      </c>
    </row>
    <row r="169" spans="1:1" ht="15" thickBot="1" x14ac:dyDescent="0.35">
      <c r="A169" s="2">
        <v>400</v>
      </c>
    </row>
    <row r="170" spans="1:1" ht="15" thickBot="1" x14ac:dyDescent="0.35">
      <c r="A170" s="1">
        <v>180</v>
      </c>
    </row>
    <row r="171" spans="1:1" ht="15" thickBot="1" x14ac:dyDescent="0.35">
      <c r="A171" s="2">
        <v>400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4DAC-6868-4AC2-B637-F921025F49E7}">
  <dimension ref="A1:K171"/>
  <sheetViews>
    <sheetView topLeftCell="A16" workbookViewId="0">
      <selection activeCell="K31" sqref="K31"/>
    </sheetView>
  </sheetViews>
  <sheetFormatPr baseColWidth="10" defaultRowHeight="14.4" x14ac:dyDescent="0.3"/>
  <sheetData>
    <row r="1" spans="1:11" ht="27" thickBot="1" x14ac:dyDescent="0.35">
      <c r="A1" s="8" t="s">
        <v>16</v>
      </c>
    </row>
    <row r="2" spans="1:11" ht="15" thickBot="1" x14ac:dyDescent="0.35">
      <c r="A2" s="1">
        <v>9.3000000000000007</v>
      </c>
      <c r="D2" t="s">
        <v>12</v>
      </c>
      <c r="E2">
        <f>+MIN(A2:A171)</f>
        <v>6.8</v>
      </c>
      <c r="F2" t="s">
        <v>0</v>
      </c>
      <c r="G2">
        <v>170</v>
      </c>
    </row>
    <row r="3" spans="1:11" ht="15" thickBot="1" x14ac:dyDescent="0.35">
      <c r="A3" s="2">
        <v>9.1999999999999993</v>
      </c>
      <c r="D3" t="s">
        <v>13</v>
      </c>
      <c r="E3">
        <f>MAX(A2:A171)</f>
        <v>9.9</v>
      </c>
      <c r="F3" t="s">
        <v>2</v>
      </c>
      <c r="G3">
        <f>ROUND(SQRT(G2),0)</f>
        <v>13</v>
      </c>
    </row>
    <row r="4" spans="1:11" ht="15" thickBot="1" x14ac:dyDescent="0.35">
      <c r="A4" s="1">
        <v>9.5</v>
      </c>
      <c r="D4" t="s">
        <v>3</v>
      </c>
      <c r="E4">
        <f>(E3-E2)</f>
        <v>3.1000000000000005</v>
      </c>
      <c r="F4" t="s">
        <v>1</v>
      </c>
      <c r="G4">
        <f>ROUND(E4/G3,2)</f>
        <v>0.24</v>
      </c>
    </row>
    <row r="5" spans="1:11" ht="15" thickBot="1" x14ac:dyDescent="0.35">
      <c r="A5" s="2">
        <v>8</v>
      </c>
    </row>
    <row r="6" spans="1:11" ht="15" thickBot="1" x14ac:dyDescent="0.35">
      <c r="A6" s="1">
        <v>8.8000000000000007</v>
      </c>
      <c r="D6" t="s">
        <v>4</v>
      </c>
      <c r="E6" t="s">
        <v>14</v>
      </c>
      <c r="F6" t="s">
        <v>5</v>
      </c>
      <c r="G6" s="5" t="s">
        <v>6</v>
      </c>
      <c r="H6" t="s">
        <v>7</v>
      </c>
      <c r="I6" s="5" t="s">
        <v>8</v>
      </c>
      <c r="J6" t="s">
        <v>9</v>
      </c>
      <c r="K6" s="5" t="s">
        <v>10</v>
      </c>
    </row>
    <row r="7" spans="1:11" ht="15" thickBot="1" x14ac:dyDescent="0.35">
      <c r="A7" s="2">
        <v>9.3000000000000007</v>
      </c>
      <c r="D7">
        <v>1</v>
      </c>
      <c r="E7">
        <f>+E2-0.05</f>
        <v>6.75</v>
      </c>
      <c r="F7">
        <f>+E7+G4</f>
        <v>6.99</v>
      </c>
      <c r="G7">
        <f>+ROUND(AVERAGE(E7:F7),2)</f>
        <v>6.87</v>
      </c>
      <c r="H7" cm="1">
        <f t="array" ref="H7:H19">+FREQUENCY(A2:A171,F7:F18)</f>
        <v>2</v>
      </c>
      <c r="I7">
        <f>+ROUND(H7/$H$20,2)</f>
        <v>0.01</v>
      </c>
      <c r="J7">
        <f>+H7</f>
        <v>2</v>
      </c>
      <c r="K7">
        <f>+I7</f>
        <v>0.01</v>
      </c>
    </row>
    <row r="8" spans="1:11" ht="15" thickBot="1" x14ac:dyDescent="0.35">
      <c r="A8" s="1">
        <v>8.6</v>
      </c>
      <c r="D8">
        <v>2</v>
      </c>
      <c r="E8">
        <f>+F7</f>
        <v>6.99</v>
      </c>
      <c r="F8">
        <f>+E8+$G$4</f>
        <v>7.23</v>
      </c>
      <c r="G8">
        <f t="shared" ref="G8:G19" si="0">+ROUND(AVERAGE(E8:F8),2)</f>
        <v>7.11</v>
      </c>
      <c r="H8">
        <v>4</v>
      </c>
      <c r="I8">
        <f t="shared" ref="I8:I19" si="1">+ROUND(H8/$H$20,2)</f>
        <v>0.02</v>
      </c>
      <c r="J8">
        <f>+J7+H8</f>
        <v>6</v>
      </c>
      <c r="K8">
        <f>+K7+I8</f>
        <v>0.03</v>
      </c>
    </row>
    <row r="9" spans="1:11" ht="15" thickBot="1" x14ac:dyDescent="0.35">
      <c r="A9" s="2">
        <v>9.4</v>
      </c>
      <c r="D9">
        <v>3</v>
      </c>
      <c r="E9">
        <f t="shared" ref="E9:E19" si="2">+F8</f>
        <v>7.23</v>
      </c>
      <c r="F9">
        <f t="shared" ref="F9:F19" si="3">+E9+$G$4</f>
        <v>7.4700000000000006</v>
      </c>
      <c r="G9">
        <f t="shared" si="0"/>
        <v>7.35</v>
      </c>
      <c r="H9">
        <v>2</v>
      </c>
      <c r="I9">
        <f t="shared" si="1"/>
        <v>0.01</v>
      </c>
      <c r="J9">
        <f t="shared" ref="J9:K19" si="4">+J8+H9</f>
        <v>8</v>
      </c>
      <c r="K9">
        <f t="shared" si="4"/>
        <v>0.04</v>
      </c>
    </row>
    <row r="10" spans="1:11" ht="15" thickBot="1" x14ac:dyDescent="0.35">
      <c r="A10" s="1">
        <v>9.6</v>
      </c>
      <c r="D10">
        <v>4</v>
      </c>
      <c r="E10">
        <f t="shared" si="2"/>
        <v>7.4700000000000006</v>
      </c>
      <c r="F10">
        <f t="shared" si="3"/>
        <v>7.7100000000000009</v>
      </c>
      <c r="G10">
        <f t="shared" si="0"/>
        <v>7.59</v>
      </c>
      <c r="H10">
        <v>2</v>
      </c>
      <c r="I10">
        <f t="shared" si="1"/>
        <v>0.01</v>
      </c>
      <c r="J10">
        <f t="shared" si="4"/>
        <v>10</v>
      </c>
      <c r="K10">
        <f t="shared" si="4"/>
        <v>0.05</v>
      </c>
    </row>
    <row r="11" spans="1:11" ht="15" thickBot="1" x14ac:dyDescent="0.35">
      <c r="A11" s="2">
        <v>9</v>
      </c>
      <c r="D11">
        <v>5</v>
      </c>
      <c r="E11">
        <f t="shared" si="2"/>
        <v>7.7100000000000009</v>
      </c>
      <c r="F11">
        <f t="shared" si="3"/>
        <v>7.9500000000000011</v>
      </c>
      <c r="G11">
        <f t="shared" si="0"/>
        <v>7.83</v>
      </c>
      <c r="H11">
        <v>13</v>
      </c>
      <c r="I11">
        <f t="shared" si="1"/>
        <v>0.08</v>
      </c>
      <c r="J11">
        <f t="shared" si="4"/>
        <v>23</v>
      </c>
      <c r="K11">
        <f t="shared" si="4"/>
        <v>0.13</v>
      </c>
    </row>
    <row r="12" spans="1:11" ht="15" thickBot="1" x14ac:dyDescent="0.35">
      <c r="A12" s="1">
        <v>7.3</v>
      </c>
      <c r="D12">
        <v>6</v>
      </c>
      <c r="E12">
        <f t="shared" si="2"/>
        <v>7.9500000000000011</v>
      </c>
      <c r="F12">
        <f t="shared" si="3"/>
        <v>8.1900000000000013</v>
      </c>
      <c r="G12">
        <f t="shared" si="0"/>
        <v>8.07</v>
      </c>
      <c r="H12">
        <v>7</v>
      </c>
      <c r="I12">
        <f t="shared" si="1"/>
        <v>0.04</v>
      </c>
      <c r="J12">
        <f t="shared" si="4"/>
        <v>30</v>
      </c>
      <c r="K12">
        <f t="shared" si="4"/>
        <v>0.17</v>
      </c>
    </row>
    <row r="13" spans="1:11" ht="15" thickBot="1" x14ac:dyDescent="0.35">
      <c r="A13" s="2">
        <v>8.4</v>
      </c>
      <c r="D13">
        <v>7</v>
      </c>
      <c r="E13">
        <f t="shared" si="2"/>
        <v>8.1900000000000013</v>
      </c>
      <c r="F13">
        <f t="shared" si="3"/>
        <v>8.4300000000000015</v>
      </c>
      <c r="G13">
        <f t="shared" si="0"/>
        <v>8.31</v>
      </c>
      <c r="H13">
        <v>15</v>
      </c>
      <c r="I13">
        <f t="shared" si="1"/>
        <v>0.09</v>
      </c>
      <c r="J13">
        <f t="shared" si="4"/>
        <v>45</v>
      </c>
      <c r="K13">
        <f t="shared" si="4"/>
        <v>0.26</v>
      </c>
    </row>
    <row r="14" spans="1:11" ht="15" thickBot="1" x14ac:dyDescent="0.35">
      <c r="A14" s="1">
        <v>7.5</v>
      </c>
      <c r="D14">
        <v>8</v>
      </c>
      <c r="E14">
        <f t="shared" si="2"/>
        <v>8.4300000000000015</v>
      </c>
      <c r="F14">
        <f t="shared" si="3"/>
        <v>8.6700000000000017</v>
      </c>
      <c r="G14">
        <f t="shared" si="0"/>
        <v>8.5500000000000007</v>
      </c>
      <c r="H14">
        <v>24</v>
      </c>
      <c r="I14">
        <f t="shared" si="1"/>
        <v>0.14000000000000001</v>
      </c>
      <c r="J14">
        <f t="shared" si="4"/>
        <v>69</v>
      </c>
      <c r="K14">
        <f t="shared" si="4"/>
        <v>0.4</v>
      </c>
    </row>
    <row r="15" spans="1:11" ht="15" thickBot="1" x14ac:dyDescent="0.35">
      <c r="A15" s="2">
        <v>7.8</v>
      </c>
      <c r="D15">
        <v>9</v>
      </c>
      <c r="E15">
        <f t="shared" si="2"/>
        <v>8.6700000000000017</v>
      </c>
      <c r="F15">
        <f t="shared" si="3"/>
        <v>8.9100000000000019</v>
      </c>
      <c r="G15">
        <f t="shared" si="0"/>
        <v>8.7899999999999991</v>
      </c>
      <c r="H15">
        <v>30</v>
      </c>
      <c r="I15">
        <f t="shared" si="1"/>
        <v>0.18</v>
      </c>
      <c r="J15">
        <f t="shared" si="4"/>
        <v>99</v>
      </c>
      <c r="K15">
        <f t="shared" si="4"/>
        <v>0.58000000000000007</v>
      </c>
    </row>
    <row r="16" spans="1:11" ht="15" thickBot="1" x14ac:dyDescent="0.35">
      <c r="A16" s="1">
        <v>8.5</v>
      </c>
      <c r="D16">
        <v>10</v>
      </c>
      <c r="E16">
        <f t="shared" si="2"/>
        <v>8.9100000000000019</v>
      </c>
      <c r="F16">
        <f t="shared" si="3"/>
        <v>9.1500000000000021</v>
      </c>
      <c r="G16">
        <f t="shared" si="0"/>
        <v>9.0299999999999994</v>
      </c>
      <c r="H16">
        <v>19</v>
      </c>
      <c r="I16">
        <f t="shared" si="1"/>
        <v>0.11</v>
      </c>
      <c r="J16">
        <f t="shared" si="4"/>
        <v>118</v>
      </c>
      <c r="K16">
        <f t="shared" si="4"/>
        <v>0.69000000000000006</v>
      </c>
    </row>
    <row r="17" spans="1:11" ht="15" thickBot="1" x14ac:dyDescent="0.35">
      <c r="A17" s="2">
        <v>8.5</v>
      </c>
      <c r="D17">
        <v>11</v>
      </c>
      <c r="E17">
        <f t="shared" si="2"/>
        <v>9.1500000000000021</v>
      </c>
      <c r="F17">
        <f t="shared" si="3"/>
        <v>9.3900000000000023</v>
      </c>
      <c r="G17">
        <f t="shared" si="0"/>
        <v>9.27</v>
      </c>
      <c r="H17">
        <v>28</v>
      </c>
      <c r="I17">
        <f t="shared" si="1"/>
        <v>0.16</v>
      </c>
      <c r="J17">
        <f t="shared" si="4"/>
        <v>146</v>
      </c>
      <c r="K17">
        <f t="shared" si="4"/>
        <v>0.85000000000000009</v>
      </c>
    </row>
    <row r="18" spans="1:11" ht="15" thickBot="1" x14ac:dyDescent="0.35">
      <c r="A18" s="1">
        <v>8.8000000000000007</v>
      </c>
      <c r="D18">
        <v>12</v>
      </c>
      <c r="E18">
        <f t="shared" si="2"/>
        <v>9.3900000000000023</v>
      </c>
      <c r="F18">
        <f t="shared" si="3"/>
        <v>9.6300000000000026</v>
      </c>
      <c r="G18">
        <f t="shared" si="0"/>
        <v>9.51</v>
      </c>
      <c r="H18">
        <v>12</v>
      </c>
      <c r="I18">
        <f t="shared" si="1"/>
        <v>7.0000000000000007E-2</v>
      </c>
      <c r="J18">
        <f t="shared" si="4"/>
        <v>158</v>
      </c>
      <c r="K18">
        <f t="shared" si="4"/>
        <v>0.92000000000000015</v>
      </c>
    </row>
    <row r="19" spans="1:11" ht="15" thickBot="1" x14ac:dyDescent="0.35">
      <c r="A19" s="2">
        <v>9.3000000000000007</v>
      </c>
      <c r="D19">
        <v>13</v>
      </c>
      <c r="E19">
        <f t="shared" si="2"/>
        <v>9.6300000000000026</v>
      </c>
      <c r="F19">
        <f t="shared" si="3"/>
        <v>9.8700000000000028</v>
      </c>
      <c r="G19">
        <f t="shared" si="0"/>
        <v>9.75</v>
      </c>
      <c r="H19">
        <v>12</v>
      </c>
      <c r="I19">
        <f t="shared" si="1"/>
        <v>7.0000000000000007E-2</v>
      </c>
      <c r="J19">
        <f t="shared" si="4"/>
        <v>170</v>
      </c>
      <c r="K19">
        <f t="shared" si="4"/>
        <v>0.99000000000000021</v>
      </c>
    </row>
    <row r="20" spans="1:11" ht="15" thickBot="1" x14ac:dyDescent="0.35">
      <c r="A20" s="1">
        <v>7.8</v>
      </c>
      <c r="H20">
        <f>SUM(_xlfn.ANCHORARRAY(H7))</f>
        <v>170</v>
      </c>
      <c r="I20">
        <f>ROUND(SUM(I7:I19),0)</f>
        <v>1</v>
      </c>
    </row>
    <row r="21" spans="1:11" ht="15" thickBot="1" x14ac:dyDescent="0.35">
      <c r="A21" s="2">
        <v>8</v>
      </c>
    </row>
    <row r="22" spans="1:11" ht="15" thickBot="1" x14ac:dyDescent="0.35">
      <c r="A22" s="1">
        <v>8.5</v>
      </c>
    </row>
    <row r="23" spans="1:11" ht="15" thickBot="1" x14ac:dyDescent="0.35">
      <c r="A23" s="2">
        <v>8.9</v>
      </c>
    </row>
    <row r="24" spans="1:11" ht="15" thickBot="1" x14ac:dyDescent="0.35">
      <c r="A24" s="1">
        <v>8.6</v>
      </c>
    </row>
    <row r="25" spans="1:11" ht="15" thickBot="1" x14ac:dyDescent="0.35">
      <c r="A25" s="2">
        <v>8.8000000000000007</v>
      </c>
    </row>
    <row r="26" spans="1:11" ht="15" thickBot="1" x14ac:dyDescent="0.35">
      <c r="A26" s="1">
        <v>8.4</v>
      </c>
    </row>
    <row r="27" spans="1:11" ht="15" thickBot="1" x14ac:dyDescent="0.35">
      <c r="A27" s="2">
        <v>8.8000000000000007</v>
      </c>
    </row>
    <row r="28" spans="1:11" ht="15" thickBot="1" x14ac:dyDescent="0.35">
      <c r="A28" s="1">
        <v>9.6</v>
      </c>
    </row>
    <row r="29" spans="1:11" ht="15" thickBot="1" x14ac:dyDescent="0.35">
      <c r="A29" s="2">
        <v>9.6999999999999993</v>
      </c>
    </row>
    <row r="30" spans="1:11" ht="15" thickBot="1" x14ac:dyDescent="0.35">
      <c r="A30" s="1">
        <v>9.1999999999999993</v>
      </c>
    </row>
    <row r="31" spans="1:11" ht="15" thickBot="1" x14ac:dyDescent="0.35">
      <c r="A31" s="2">
        <v>9.5</v>
      </c>
    </row>
    <row r="32" spans="1:11" ht="15" thickBot="1" x14ac:dyDescent="0.35">
      <c r="A32" s="1">
        <v>9.6999999999999993</v>
      </c>
    </row>
    <row r="33" spans="1:1" ht="15" thickBot="1" x14ac:dyDescent="0.35">
      <c r="A33" s="2">
        <v>9.1</v>
      </c>
    </row>
    <row r="34" spans="1:1" ht="15" thickBot="1" x14ac:dyDescent="0.35">
      <c r="A34" s="1">
        <v>9.1999999999999993</v>
      </c>
    </row>
    <row r="35" spans="1:1" ht="15" thickBot="1" x14ac:dyDescent="0.35">
      <c r="A35" s="2">
        <v>9.8000000000000007</v>
      </c>
    </row>
    <row r="36" spans="1:1" ht="15" thickBot="1" x14ac:dyDescent="0.35">
      <c r="A36" s="1">
        <v>9.3000000000000007</v>
      </c>
    </row>
    <row r="37" spans="1:1" ht="15" thickBot="1" x14ac:dyDescent="0.35">
      <c r="A37" s="2">
        <v>9.6999999999999993</v>
      </c>
    </row>
    <row r="38" spans="1:1" ht="15" thickBot="1" x14ac:dyDescent="0.35">
      <c r="A38" s="1">
        <v>9.3000000000000007</v>
      </c>
    </row>
    <row r="39" spans="1:1" ht="15" thickBot="1" x14ac:dyDescent="0.35">
      <c r="A39" s="2">
        <v>9.8000000000000007</v>
      </c>
    </row>
    <row r="40" spans="1:1" ht="15" thickBot="1" x14ac:dyDescent="0.35">
      <c r="A40" s="1">
        <v>9.1</v>
      </c>
    </row>
    <row r="41" spans="1:1" ht="15" thickBot="1" x14ac:dyDescent="0.35">
      <c r="A41" s="2">
        <v>9.6999999999999993</v>
      </c>
    </row>
    <row r="42" spans="1:1" ht="15" thickBot="1" x14ac:dyDescent="0.35">
      <c r="A42" s="1">
        <v>9.5</v>
      </c>
    </row>
    <row r="43" spans="1:1" ht="15" thickBot="1" x14ac:dyDescent="0.35">
      <c r="A43" s="2">
        <v>9.3000000000000007</v>
      </c>
    </row>
    <row r="44" spans="1:1" ht="15" thickBot="1" x14ac:dyDescent="0.35">
      <c r="A44" s="1">
        <v>9.9</v>
      </c>
    </row>
    <row r="45" spans="1:1" ht="15" thickBot="1" x14ac:dyDescent="0.35">
      <c r="A45" s="2">
        <v>8.6999999999999993</v>
      </c>
    </row>
    <row r="46" spans="1:1" ht="15" thickBot="1" x14ac:dyDescent="0.35">
      <c r="A46" s="1">
        <v>8.1</v>
      </c>
    </row>
    <row r="47" spans="1:1" ht="15" thickBot="1" x14ac:dyDescent="0.35">
      <c r="A47" s="2">
        <v>9.1999999999999993</v>
      </c>
    </row>
    <row r="48" spans="1:1" ht="15" thickBot="1" x14ac:dyDescent="0.35">
      <c r="A48" s="1">
        <v>8.9</v>
      </c>
    </row>
    <row r="49" spans="1:1" ht="15" thickBot="1" x14ac:dyDescent="0.35">
      <c r="A49" s="2">
        <v>8.9</v>
      </c>
    </row>
    <row r="50" spans="1:1" ht="15" thickBot="1" x14ac:dyDescent="0.35">
      <c r="A50" s="1">
        <v>8</v>
      </c>
    </row>
    <row r="51" spans="1:1" ht="15" thickBot="1" x14ac:dyDescent="0.35">
      <c r="A51" s="2">
        <v>8.6999999999999993</v>
      </c>
    </row>
    <row r="52" spans="1:1" ht="15" thickBot="1" x14ac:dyDescent="0.35">
      <c r="A52" s="1">
        <v>9.8000000000000007</v>
      </c>
    </row>
    <row r="53" spans="1:1" ht="15" thickBot="1" x14ac:dyDescent="0.35">
      <c r="A53" s="2">
        <v>8.6</v>
      </c>
    </row>
    <row r="54" spans="1:1" ht="15" thickBot="1" x14ac:dyDescent="0.35">
      <c r="A54" s="1">
        <v>9.3000000000000007</v>
      </c>
    </row>
    <row r="55" spans="1:1" ht="15" thickBot="1" x14ac:dyDescent="0.35">
      <c r="A55" s="2">
        <v>9.8000000000000007</v>
      </c>
    </row>
    <row r="56" spans="1:1" ht="15" thickBot="1" x14ac:dyDescent="0.35">
      <c r="A56" s="1">
        <v>7.2</v>
      </c>
    </row>
    <row r="57" spans="1:1" ht="15" thickBot="1" x14ac:dyDescent="0.35">
      <c r="A57" s="2">
        <v>9.1</v>
      </c>
    </row>
    <row r="58" spans="1:1" ht="15" thickBot="1" x14ac:dyDescent="0.35">
      <c r="A58" s="1">
        <v>9</v>
      </c>
    </row>
    <row r="59" spans="1:1" ht="15" thickBot="1" x14ac:dyDescent="0.35">
      <c r="A59" s="2">
        <v>8.3000000000000007</v>
      </c>
    </row>
    <row r="60" spans="1:1" ht="15" thickBot="1" x14ac:dyDescent="0.35">
      <c r="A60" s="1">
        <v>8.8000000000000007</v>
      </c>
    </row>
    <row r="61" spans="1:1" ht="15" thickBot="1" x14ac:dyDescent="0.35">
      <c r="A61" s="2">
        <v>8.6999999999999993</v>
      </c>
    </row>
    <row r="62" spans="1:1" ht="15" thickBot="1" x14ac:dyDescent="0.35">
      <c r="A62" s="1">
        <v>8.1999999999999993</v>
      </c>
    </row>
    <row r="63" spans="1:1" ht="15" thickBot="1" x14ac:dyDescent="0.35">
      <c r="A63" s="2">
        <v>8.1999999999999993</v>
      </c>
    </row>
    <row r="64" spans="1:1" ht="15" thickBot="1" x14ac:dyDescent="0.35">
      <c r="A64" s="1">
        <v>8.5</v>
      </c>
    </row>
    <row r="65" spans="1:1" ht="15" thickBot="1" x14ac:dyDescent="0.35">
      <c r="A65" s="2">
        <v>8.4</v>
      </c>
    </row>
    <row r="66" spans="1:1" ht="15" thickBot="1" x14ac:dyDescent="0.35">
      <c r="A66" s="1">
        <v>8.5</v>
      </c>
    </row>
    <row r="67" spans="1:1" ht="15" thickBot="1" x14ac:dyDescent="0.35">
      <c r="A67" s="2">
        <v>9.1</v>
      </c>
    </row>
    <row r="68" spans="1:1" ht="15" thickBot="1" x14ac:dyDescent="0.35">
      <c r="A68" s="1">
        <v>9</v>
      </c>
    </row>
    <row r="69" spans="1:1" ht="15" thickBot="1" x14ac:dyDescent="0.35">
      <c r="A69" s="2">
        <v>8.6999999999999993</v>
      </c>
    </row>
    <row r="70" spans="1:1" ht="15" thickBot="1" x14ac:dyDescent="0.35">
      <c r="A70" s="1">
        <v>9.1999999999999993</v>
      </c>
    </row>
    <row r="71" spans="1:1" ht="15" thickBot="1" x14ac:dyDescent="0.35">
      <c r="A71" s="2">
        <v>9.1</v>
      </c>
    </row>
    <row r="72" spans="1:1" ht="15" thickBot="1" x14ac:dyDescent="0.35">
      <c r="A72" s="1">
        <v>8.4</v>
      </c>
    </row>
    <row r="73" spans="1:1" ht="15" thickBot="1" x14ac:dyDescent="0.35">
      <c r="A73" s="2">
        <v>7.6</v>
      </c>
    </row>
    <row r="74" spans="1:1" ht="15" thickBot="1" x14ac:dyDescent="0.35">
      <c r="A74" s="1">
        <v>7.9</v>
      </c>
    </row>
    <row r="75" spans="1:1" ht="15" thickBot="1" x14ac:dyDescent="0.35">
      <c r="A75" s="2">
        <v>6.8</v>
      </c>
    </row>
    <row r="76" spans="1:1" ht="15" thickBot="1" x14ac:dyDescent="0.35">
      <c r="A76" s="1">
        <v>9</v>
      </c>
    </row>
    <row r="77" spans="1:1" ht="15" thickBot="1" x14ac:dyDescent="0.35">
      <c r="A77" s="2">
        <v>7.9</v>
      </c>
    </row>
    <row r="78" spans="1:1" ht="15" thickBot="1" x14ac:dyDescent="0.35">
      <c r="A78" s="1">
        <v>9.5</v>
      </c>
    </row>
    <row r="79" spans="1:1" ht="15" thickBot="1" x14ac:dyDescent="0.35">
      <c r="A79" s="2">
        <v>8.6</v>
      </c>
    </row>
    <row r="80" spans="1:1" ht="15" thickBot="1" x14ac:dyDescent="0.35">
      <c r="A80" s="1">
        <v>9.1999999999999993</v>
      </c>
    </row>
    <row r="81" spans="1:1" ht="15" thickBot="1" x14ac:dyDescent="0.35">
      <c r="A81" s="2">
        <v>8.6999999999999993</v>
      </c>
    </row>
    <row r="82" spans="1:1" ht="15" thickBot="1" x14ac:dyDescent="0.35">
      <c r="A82" s="1">
        <v>8.9</v>
      </c>
    </row>
    <row r="83" spans="1:1" ht="15" thickBot="1" x14ac:dyDescent="0.35">
      <c r="A83" s="2">
        <v>9</v>
      </c>
    </row>
    <row r="84" spans="1:1" ht="15" thickBot="1" x14ac:dyDescent="0.35">
      <c r="A84" s="1">
        <v>8.9</v>
      </c>
    </row>
    <row r="85" spans="1:1" ht="15" thickBot="1" x14ac:dyDescent="0.35">
      <c r="A85" s="2">
        <v>7.8</v>
      </c>
    </row>
    <row r="86" spans="1:1" ht="15" thickBot="1" x14ac:dyDescent="0.35">
      <c r="A86" s="1">
        <v>7</v>
      </c>
    </row>
    <row r="87" spans="1:1" ht="15" thickBot="1" x14ac:dyDescent="0.35">
      <c r="A87" s="2">
        <v>9.1</v>
      </c>
    </row>
    <row r="88" spans="1:1" ht="15" thickBot="1" x14ac:dyDescent="0.35">
      <c r="A88" s="1">
        <v>9.1999999999999993</v>
      </c>
    </row>
    <row r="89" spans="1:1" ht="15" thickBot="1" x14ac:dyDescent="0.35">
      <c r="A89" s="2">
        <v>9.1</v>
      </c>
    </row>
    <row r="90" spans="1:1" ht="15" thickBot="1" x14ac:dyDescent="0.35">
      <c r="A90" s="1">
        <v>9.1999999999999993</v>
      </c>
    </row>
    <row r="91" spans="1:1" ht="15" thickBot="1" x14ac:dyDescent="0.35">
      <c r="A91" s="2">
        <v>8.5</v>
      </c>
    </row>
    <row r="92" spans="1:1" ht="15" thickBot="1" x14ac:dyDescent="0.35">
      <c r="A92" s="1">
        <v>8.5</v>
      </c>
    </row>
    <row r="93" spans="1:1" ht="15" thickBot="1" x14ac:dyDescent="0.35">
      <c r="A93" s="2">
        <v>8.6999999999999993</v>
      </c>
    </row>
    <row r="94" spans="1:1" ht="15" thickBot="1" x14ac:dyDescent="0.35">
      <c r="A94" s="1">
        <v>9.1</v>
      </c>
    </row>
    <row r="95" spans="1:1" ht="15" thickBot="1" x14ac:dyDescent="0.35">
      <c r="A95" s="2">
        <v>7.8</v>
      </c>
    </row>
    <row r="96" spans="1:1" ht="15" thickBot="1" x14ac:dyDescent="0.35">
      <c r="A96" s="1">
        <v>8.5</v>
      </c>
    </row>
    <row r="97" spans="1:1" ht="15" thickBot="1" x14ac:dyDescent="0.35">
      <c r="A97" s="2">
        <v>9.3000000000000007</v>
      </c>
    </row>
    <row r="98" spans="1:1" ht="15" thickBot="1" x14ac:dyDescent="0.35">
      <c r="A98" s="1">
        <v>8.6999999999999993</v>
      </c>
    </row>
    <row r="99" spans="1:1" ht="15" thickBot="1" x14ac:dyDescent="0.35">
      <c r="A99" s="2">
        <v>8.5</v>
      </c>
    </row>
    <row r="100" spans="1:1" ht="15" thickBot="1" x14ac:dyDescent="0.35">
      <c r="A100" s="1">
        <v>8.8000000000000007</v>
      </c>
    </row>
    <row r="101" spans="1:1" ht="15" thickBot="1" x14ac:dyDescent="0.35">
      <c r="A101" s="2">
        <v>8</v>
      </c>
    </row>
    <row r="102" spans="1:1" ht="15" thickBot="1" x14ac:dyDescent="0.35">
      <c r="A102" s="1">
        <v>8.4</v>
      </c>
    </row>
    <row r="103" spans="1:1" ht="15" thickBot="1" x14ac:dyDescent="0.35">
      <c r="A103" s="2">
        <v>8.5</v>
      </c>
    </row>
    <row r="104" spans="1:1" ht="15" thickBot="1" x14ac:dyDescent="0.35">
      <c r="A104" s="1">
        <v>8.6</v>
      </c>
    </row>
    <row r="105" spans="1:1" ht="15" thickBot="1" x14ac:dyDescent="0.35">
      <c r="A105" s="2">
        <v>7.2</v>
      </c>
    </row>
    <row r="106" spans="1:1" ht="15" thickBot="1" x14ac:dyDescent="0.35">
      <c r="A106" s="1">
        <v>8.9</v>
      </c>
    </row>
    <row r="107" spans="1:1" ht="15" thickBot="1" x14ac:dyDescent="0.35">
      <c r="A107" s="2">
        <v>7.8</v>
      </c>
    </row>
    <row r="108" spans="1:1" ht="15" thickBot="1" x14ac:dyDescent="0.35">
      <c r="A108" s="1">
        <v>7.9</v>
      </c>
    </row>
    <row r="109" spans="1:1" ht="15" thickBot="1" x14ac:dyDescent="0.35">
      <c r="A109" s="2">
        <v>9</v>
      </c>
    </row>
    <row r="110" spans="1:1" ht="15" thickBot="1" x14ac:dyDescent="0.35">
      <c r="A110" s="1">
        <v>9.4</v>
      </c>
    </row>
    <row r="111" spans="1:1" ht="15" thickBot="1" x14ac:dyDescent="0.35">
      <c r="A111" s="2">
        <v>8.9</v>
      </c>
    </row>
    <row r="112" spans="1:1" ht="15" thickBot="1" x14ac:dyDescent="0.35">
      <c r="A112" s="1">
        <v>7.8</v>
      </c>
    </row>
    <row r="113" spans="1:1" ht="15" thickBot="1" x14ac:dyDescent="0.35">
      <c r="A113" s="2">
        <v>7.8</v>
      </c>
    </row>
    <row r="114" spans="1:1" ht="15" thickBot="1" x14ac:dyDescent="0.35">
      <c r="A114" s="1">
        <v>6.9</v>
      </c>
    </row>
    <row r="115" spans="1:1" ht="15" thickBot="1" x14ac:dyDescent="0.35">
      <c r="A115" s="2">
        <v>7.9</v>
      </c>
    </row>
    <row r="116" spans="1:1" ht="15" thickBot="1" x14ac:dyDescent="0.35">
      <c r="A116" s="1">
        <v>7.3</v>
      </c>
    </row>
    <row r="117" spans="1:1" ht="15" thickBot="1" x14ac:dyDescent="0.35">
      <c r="A117" s="2">
        <v>8.1999999999999993</v>
      </c>
    </row>
    <row r="118" spans="1:1" ht="15" thickBot="1" x14ac:dyDescent="0.35">
      <c r="A118" s="1">
        <v>9.6999999999999993</v>
      </c>
    </row>
    <row r="119" spans="1:1" ht="15" thickBot="1" x14ac:dyDescent="0.35">
      <c r="A119" s="2">
        <v>8.3000000000000007</v>
      </c>
    </row>
    <row r="120" spans="1:1" ht="15" thickBot="1" x14ac:dyDescent="0.35">
      <c r="A120" s="1">
        <v>9</v>
      </c>
    </row>
    <row r="121" spans="1:1" ht="15" thickBot="1" x14ac:dyDescent="0.35">
      <c r="A121" s="2">
        <v>9.1</v>
      </c>
    </row>
    <row r="122" spans="1:1" ht="15" thickBot="1" x14ac:dyDescent="0.35">
      <c r="A122" s="1">
        <v>8.8000000000000007</v>
      </c>
    </row>
    <row r="123" spans="1:1" ht="15" thickBot="1" x14ac:dyDescent="0.35">
      <c r="A123" s="2">
        <v>9.1999999999999993</v>
      </c>
    </row>
    <row r="124" spans="1:1" ht="15" thickBot="1" x14ac:dyDescent="0.35">
      <c r="A124" s="1">
        <v>9.3000000000000007</v>
      </c>
    </row>
    <row r="125" spans="1:1" ht="15" thickBot="1" x14ac:dyDescent="0.35">
      <c r="A125" s="2">
        <v>9.6999999999999993</v>
      </c>
    </row>
    <row r="126" spans="1:1" ht="15" thickBot="1" x14ac:dyDescent="0.35">
      <c r="A126" s="1">
        <v>8.5</v>
      </c>
    </row>
    <row r="127" spans="1:1" ht="15" thickBot="1" x14ac:dyDescent="0.35">
      <c r="A127" s="2">
        <v>9.1999999999999993</v>
      </c>
    </row>
    <row r="128" spans="1:1" ht="15" thickBot="1" x14ac:dyDescent="0.35">
      <c r="A128" s="1">
        <v>8.5</v>
      </c>
    </row>
    <row r="129" spans="1:1" ht="15" thickBot="1" x14ac:dyDescent="0.35">
      <c r="A129" s="2">
        <v>7.8</v>
      </c>
    </row>
    <row r="130" spans="1:1" ht="15" thickBot="1" x14ac:dyDescent="0.35">
      <c r="A130" s="1">
        <v>9.1999999999999993</v>
      </c>
    </row>
    <row r="131" spans="1:1" ht="15" thickBot="1" x14ac:dyDescent="0.35">
      <c r="A131" s="2">
        <v>8.9</v>
      </c>
    </row>
    <row r="132" spans="1:1" ht="15" thickBot="1" x14ac:dyDescent="0.35">
      <c r="A132" s="1">
        <v>8.3000000000000007</v>
      </c>
    </row>
    <row r="133" spans="1:1" ht="15" thickBot="1" x14ac:dyDescent="0.35">
      <c r="A133" s="2">
        <v>9.1</v>
      </c>
    </row>
    <row r="134" spans="1:1" ht="15" thickBot="1" x14ac:dyDescent="0.35">
      <c r="A134" s="1">
        <v>8.5</v>
      </c>
    </row>
    <row r="135" spans="1:1" ht="15" thickBot="1" x14ac:dyDescent="0.35">
      <c r="A135" s="2">
        <v>8.8000000000000007</v>
      </c>
    </row>
    <row r="136" spans="1:1" ht="15" thickBot="1" x14ac:dyDescent="0.35">
      <c r="A136" s="1">
        <v>9.4</v>
      </c>
    </row>
    <row r="137" spans="1:1" ht="15" thickBot="1" x14ac:dyDescent="0.35">
      <c r="A137" s="2">
        <v>7.8</v>
      </c>
    </row>
    <row r="138" spans="1:1" ht="15" thickBot="1" x14ac:dyDescent="0.35">
      <c r="A138" s="1">
        <v>9.3000000000000007</v>
      </c>
    </row>
    <row r="139" spans="1:1" ht="15" thickBot="1" x14ac:dyDescent="0.35">
      <c r="A139" s="2">
        <v>8.1999999999999993</v>
      </c>
    </row>
    <row r="140" spans="1:1" ht="15" thickBot="1" x14ac:dyDescent="0.35">
      <c r="A140" s="1">
        <v>9.6</v>
      </c>
    </row>
    <row r="141" spans="1:1" ht="15" thickBot="1" x14ac:dyDescent="0.35">
      <c r="A141" s="2">
        <v>9.1999999999999993</v>
      </c>
    </row>
    <row r="142" spans="1:1" ht="15" thickBot="1" x14ac:dyDescent="0.35">
      <c r="A142" s="1">
        <v>9.1</v>
      </c>
    </row>
    <row r="143" spans="1:1" ht="15" thickBot="1" x14ac:dyDescent="0.35">
      <c r="A143" s="2">
        <v>8.6999999999999993</v>
      </c>
    </row>
    <row r="144" spans="1:1" ht="15" thickBot="1" x14ac:dyDescent="0.35">
      <c r="A144" s="1">
        <v>8.6</v>
      </c>
    </row>
    <row r="145" spans="1:1" ht="15" thickBot="1" x14ac:dyDescent="0.35">
      <c r="A145" s="2">
        <v>8.5</v>
      </c>
    </row>
    <row r="146" spans="1:1" ht="15" thickBot="1" x14ac:dyDescent="0.35">
      <c r="A146" s="1">
        <v>9.1999999999999993</v>
      </c>
    </row>
    <row r="147" spans="1:1" ht="15" thickBot="1" x14ac:dyDescent="0.35">
      <c r="A147" s="2">
        <v>9.1999999999999993</v>
      </c>
    </row>
    <row r="148" spans="1:1" ht="15" thickBot="1" x14ac:dyDescent="0.35">
      <c r="A148" s="1">
        <v>8.1999999999999993</v>
      </c>
    </row>
    <row r="149" spans="1:1" ht="15" thickBot="1" x14ac:dyDescent="0.35">
      <c r="A149" s="2">
        <v>8.9</v>
      </c>
    </row>
    <row r="150" spans="1:1" ht="15" thickBot="1" x14ac:dyDescent="0.35">
      <c r="A150" s="1">
        <v>8.5</v>
      </c>
    </row>
    <row r="151" spans="1:1" ht="15" thickBot="1" x14ac:dyDescent="0.35">
      <c r="A151" s="2">
        <v>9.8000000000000007</v>
      </c>
    </row>
    <row r="152" spans="1:1" ht="15" thickBot="1" x14ac:dyDescent="0.35">
      <c r="A152" s="1">
        <v>8.6</v>
      </c>
    </row>
    <row r="153" spans="1:1" ht="15" thickBot="1" x14ac:dyDescent="0.35">
      <c r="A153" s="2">
        <v>9.3000000000000007</v>
      </c>
    </row>
    <row r="154" spans="1:1" ht="15" thickBot="1" x14ac:dyDescent="0.35">
      <c r="A154" s="1">
        <v>8.1</v>
      </c>
    </row>
    <row r="155" spans="1:1" ht="15" thickBot="1" x14ac:dyDescent="0.35">
      <c r="A155" s="2">
        <v>9.1</v>
      </c>
    </row>
    <row r="156" spans="1:1" ht="15" thickBot="1" x14ac:dyDescent="0.35">
      <c r="A156" s="1">
        <v>8.6999999999999993</v>
      </c>
    </row>
    <row r="157" spans="1:1" ht="15" thickBot="1" x14ac:dyDescent="0.35">
      <c r="A157" s="2">
        <v>9.1999999999999993</v>
      </c>
    </row>
    <row r="158" spans="1:1" ht="15" thickBot="1" x14ac:dyDescent="0.35">
      <c r="A158" s="1">
        <v>8.1999999999999993</v>
      </c>
    </row>
    <row r="159" spans="1:1" ht="15" thickBot="1" x14ac:dyDescent="0.35">
      <c r="A159" s="2">
        <v>8.8000000000000007</v>
      </c>
    </row>
    <row r="160" spans="1:1" ht="15" thickBot="1" x14ac:dyDescent="0.35">
      <c r="A160" s="1">
        <v>8</v>
      </c>
    </row>
    <row r="161" spans="1:1" ht="15" thickBot="1" x14ac:dyDescent="0.35">
      <c r="A161" s="2">
        <v>8.8000000000000007</v>
      </c>
    </row>
    <row r="162" spans="1:1" ht="15" thickBot="1" x14ac:dyDescent="0.35">
      <c r="A162" s="1">
        <v>7.2</v>
      </c>
    </row>
    <row r="163" spans="1:1" ht="15" thickBot="1" x14ac:dyDescent="0.35">
      <c r="A163" s="2">
        <v>9.1999999999999993</v>
      </c>
    </row>
    <row r="164" spans="1:1" ht="15" thickBot="1" x14ac:dyDescent="0.35">
      <c r="A164" s="1">
        <v>8.5</v>
      </c>
    </row>
    <row r="165" spans="1:1" ht="15" thickBot="1" x14ac:dyDescent="0.35">
      <c r="A165" s="2">
        <v>8.4</v>
      </c>
    </row>
    <row r="166" spans="1:1" ht="15" thickBot="1" x14ac:dyDescent="0.35">
      <c r="A166" s="1">
        <v>8.6999999999999993</v>
      </c>
    </row>
    <row r="167" spans="1:1" ht="15" thickBot="1" x14ac:dyDescent="0.35">
      <c r="A167" s="2">
        <v>9.4</v>
      </c>
    </row>
    <row r="168" spans="1:1" ht="15" thickBot="1" x14ac:dyDescent="0.35">
      <c r="A168" s="1">
        <v>9.1999999999999993</v>
      </c>
    </row>
    <row r="169" spans="1:1" ht="15" thickBot="1" x14ac:dyDescent="0.35">
      <c r="A169" s="2">
        <v>8.6</v>
      </c>
    </row>
    <row r="170" spans="1:1" ht="15" thickBot="1" x14ac:dyDescent="0.35">
      <c r="A170" s="1">
        <v>8.9</v>
      </c>
    </row>
    <row r="171" spans="1:1" ht="15" thickBot="1" x14ac:dyDescent="0.35">
      <c r="A171" s="2">
        <v>9.4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B75E-2049-4FED-8365-002D11FC652C}">
  <dimension ref="A1:K171"/>
  <sheetViews>
    <sheetView topLeftCell="A33" workbookViewId="0">
      <selection activeCell="J51" sqref="J51"/>
    </sheetView>
  </sheetViews>
  <sheetFormatPr baseColWidth="10" defaultRowHeight="14.4" x14ac:dyDescent="0.3"/>
  <cols>
    <col min="1" max="1" width="19.109375" customWidth="1"/>
  </cols>
  <sheetData>
    <row r="1" spans="1:11" ht="66" x14ac:dyDescent="0.3">
      <c r="A1" s="6" t="s">
        <v>17</v>
      </c>
    </row>
    <row r="2" spans="1:11" x14ac:dyDescent="0.3">
      <c r="A2" s="7">
        <v>90</v>
      </c>
      <c r="D2" t="s">
        <v>12</v>
      </c>
      <c r="E2">
        <f>+MIN(A2:A171)</f>
        <v>0</v>
      </c>
      <c r="F2" t="s">
        <v>0</v>
      </c>
      <c r="G2">
        <v>170</v>
      </c>
    </row>
    <row r="3" spans="1:11" x14ac:dyDescent="0.3">
      <c r="A3" s="7">
        <v>120</v>
      </c>
      <c r="D3" t="s">
        <v>13</v>
      </c>
      <c r="E3">
        <f>MAX(A2:A171)</f>
        <v>970</v>
      </c>
      <c r="F3" t="s">
        <v>2</v>
      </c>
      <c r="G3">
        <f>ROUND(SQRT(G2),0)</f>
        <v>13</v>
      </c>
    </row>
    <row r="4" spans="1:11" x14ac:dyDescent="0.3">
      <c r="A4" s="7">
        <v>180</v>
      </c>
      <c r="D4" t="s">
        <v>3</v>
      </c>
      <c r="E4">
        <f>(E3-E2)</f>
        <v>970</v>
      </c>
      <c r="F4" t="s">
        <v>1</v>
      </c>
      <c r="G4">
        <f>ROUND(E4/G3,2)</f>
        <v>74.62</v>
      </c>
    </row>
    <row r="5" spans="1:11" x14ac:dyDescent="0.3">
      <c r="A5" s="7">
        <v>120</v>
      </c>
    </row>
    <row r="6" spans="1:11" x14ac:dyDescent="0.3">
      <c r="A6" s="7">
        <v>30</v>
      </c>
      <c r="D6" t="s">
        <v>4</v>
      </c>
      <c r="E6" t="s">
        <v>14</v>
      </c>
      <c r="F6" t="s">
        <v>5</v>
      </c>
      <c r="G6" s="5" t="s">
        <v>6</v>
      </c>
      <c r="H6" t="s">
        <v>7</v>
      </c>
      <c r="I6" s="5" t="s">
        <v>8</v>
      </c>
      <c r="J6" t="s">
        <v>9</v>
      </c>
      <c r="K6" s="5" t="s">
        <v>10</v>
      </c>
    </row>
    <row r="7" spans="1:11" x14ac:dyDescent="0.3">
      <c r="A7" s="7">
        <v>190</v>
      </c>
      <c r="D7">
        <v>1</v>
      </c>
      <c r="E7">
        <f>+E2-0.5</f>
        <v>-0.5</v>
      </c>
      <c r="F7">
        <f>+E7+G4</f>
        <v>74.12</v>
      </c>
      <c r="G7">
        <f>+ROUND(AVERAGE(E7:F7),2)</f>
        <v>36.81</v>
      </c>
      <c r="H7" cm="1">
        <f t="array" ref="H7:H19">+FREQUENCY(A2:A171,F7:F18)</f>
        <v>51</v>
      </c>
      <c r="I7">
        <f>+ROUND(H7/$H$20,2)</f>
        <v>0.3</v>
      </c>
      <c r="J7">
        <f>+H7</f>
        <v>51</v>
      </c>
      <c r="K7">
        <f>+I7</f>
        <v>0.3</v>
      </c>
    </row>
    <row r="8" spans="1:11" x14ac:dyDescent="0.3">
      <c r="A8" s="7">
        <v>69</v>
      </c>
      <c r="D8">
        <v>2</v>
      </c>
      <c r="E8">
        <f>+F7</f>
        <v>74.12</v>
      </c>
      <c r="F8">
        <f>+E8+$G$4</f>
        <v>148.74</v>
      </c>
      <c r="G8">
        <f t="shared" ref="G8:G19" si="0">+ROUND(AVERAGE(E8:F8),2)</f>
        <v>111.43</v>
      </c>
      <c r="H8">
        <v>63</v>
      </c>
      <c r="I8">
        <f t="shared" ref="I8:I19" si="1">+ROUND(H8/$H$20,2)</f>
        <v>0.37</v>
      </c>
      <c r="J8">
        <f>+J7+H8</f>
        <v>114</v>
      </c>
      <c r="K8">
        <f>+K7+I8</f>
        <v>0.66999999999999993</v>
      </c>
    </row>
    <row r="9" spans="1:11" x14ac:dyDescent="0.3">
      <c r="A9" s="7">
        <v>240</v>
      </c>
      <c r="D9">
        <v>3</v>
      </c>
      <c r="E9">
        <f t="shared" ref="E9:E19" si="2">+F8</f>
        <v>148.74</v>
      </c>
      <c r="F9">
        <f t="shared" ref="F9:F19" si="3">+E9+$G$4</f>
        <v>223.36</v>
      </c>
      <c r="G9">
        <f t="shared" si="0"/>
        <v>186.05</v>
      </c>
      <c r="H9">
        <v>19</v>
      </c>
      <c r="I9">
        <f t="shared" si="1"/>
        <v>0.11</v>
      </c>
      <c r="J9">
        <f t="shared" ref="J9:K19" si="4">+J8+H9</f>
        <v>133</v>
      </c>
      <c r="K9">
        <f t="shared" si="4"/>
        <v>0.77999999999999992</v>
      </c>
    </row>
    <row r="10" spans="1:11" x14ac:dyDescent="0.3">
      <c r="A10" s="7">
        <v>120</v>
      </c>
      <c r="D10">
        <v>4</v>
      </c>
      <c r="E10">
        <f t="shared" si="2"/>
        <v>223.36</v>
      </c>
      <c r="F10">
        <f t="shared" si="3"/>
        <v>297.98</v>
      </c>
      <c r="G10">
        <f t="shared" si="0"/>
        <v>260.67</v>
      </c>
      <c r="H10">
        <v>5</v>
      </c>
      <c r="I10">
        <f t="shared" si="1"/>
        <v>0.03</v>
      </c>
      <c r="J10">
        <f t="shared" si="4"/>
        <v>138</v>
      </c>
      <c r="K10">
        <f t="shared" si="4"/>
        <v>0.80999999999999994</v>
      </c>
    </row>
    <row r="11" spans="1:11" x14ac:dyDescent="0.3">
      <c r="A11" s="7">
        <v>180</v>
      </c>
      <c r="D11">
        <v>5</v>
      </c>
      <c r="E11">
        <f t="shared" si="2"/>
        <v>297.98</v>
      </c>
      <c r="F11">
        <f t="shared" si="3"/>
        <v>372.6</v>
      </c>
      <c r="G11">
        <f t="shared" si="0"/>
        <v>335.29</v>
      </c>
      <c r="H11">
        <v>13</v>
      </c>
      <c r="I11">
        <f t="shared" si="1"/>
        <v>0.08</v>
      </c>
      <c r="J11">
        <f t="shared" si="4"/>
        <v>151</v>
      </c>
      <c r="K11">
        <f t="shared" si="4"/>
        <v>0.8899999999999999</v>
      </c>
    </row>
    <row r="12" spans="1:11" x14ac:dyDescent="0.3">
      <c r="A12" s="7">
        <v>120</v>
      </c>
      <c r="D12">
        <v>6</v>
      </c>
      <c r="E12">
        <f t="shared" si="2"/>
        <v>372.6</v>
      </c>
      <c r="F12">
        <f t="shared" si="3"/>
        <v>447.22</v>
      </c>
      <c r="G12">
        <f t="shared" si="0"/>
        <v>409.91</v>
      </c>
      <c r="H12">
        <v>5</v>
      </c>
      <c r="I12">
        <f t="shared" si="1"/>
        <v>0.03</v>
      </c>
      <c r="J12">
        <f t="shared" si="4"/>
        <v>156</v>
      </c>
      <c r="K12">
        <f t="shared" si="4"/>
        <v>0.91999999999999993</v>
      </c>
    </row>
    <row r="13" spans="1:11" x14ac:dyDescent="0.3">
      <c r="A13" s="7">
        <v>120</v>
      </c>
      <c r="D13">
        <v>7</v>
      </c>
      <c r="E13">
        <f t="shared" si="2"/>
        <v>447.22</v>
      </c>
      <c r="F13">
        <f t="shared" si="3"/>
        <v>521.84</v>
      </c>
      <c r="G13">
        <f t="shared" si="0"/>
        <v>484.53</v>
      </c>
      <c r="H13">
        <v>6</v>
      </c>
      <c r="I13">
        <f t="shared" si="1"/>
        <v>0.04</v>
      </c>
      <c r="J13">
        <f t="shared" si="4"/>
        <v>162</v>
      </c>
      <c r="K13">
        <f t="shared" si="4"/>
        <v>0.96</v>
      </c>
    </row>
    <row r="14" spans="1:11" x14ac:dyDescent="0.3">
      <c r="A14" s="7">
        <v>60</v>
      </c>
      <c r="D14">
        <v>8</v>
      </c>
      <c r="E14">
        <f t="shared" si="2"/>
        <v>521.84</v>
      </c>
      <c r="F14">
        <f t="shared" si="3"/>
        <v>596.46</v>
      </c>
      <c r="G14">
        <f t="shared" si="0"/>
        <v>559.15</v>
      </c>
      <c r="H14">
        <v>0</v>
      </c>
      <c r="I14">
        <f t="shared" si="1"/>
        <v>0</v>
      </c>
      <c r="J14">
        <f t="shared" si="4"/>
        <v>162</v>
      </c>
      <c r="K14">
        <f t="shared" si="4"/>
        <v>0.96</v>
      </c>
    </row>
    <row r="15" spans="1:11" x14ac:dyDescent="0.3">
      <c r="A15" s="7">
        <v>10</v>
      </c>
      <c r="D15">
        <v>9</v>
      </c>
      <c r="E15">
        <f t="shared" si="2"/>
        <v>596.46</v>
      </c>
      <c r="F15">
        <f t="shared" si="3"/>
        <v>671.08</v>
      </c>
      <c r="G15">
        <f t="shared" si="0"/>
        <v>633.77</v>
      </c>
      <c r="H15">
        <v>1</v>
      </c>
      <c r="I15">
        <f t="shared" si="1"/>
        <v>0.01</v>
      </c>
      <c r="J15">
        <f t="shared" si="4"/>
        <v>163</v>
      </c>
      <c r="K15">
        <f t="shared" si="4"/>
        <v>0.97</v>
      </c>
    </row>
    <row r="16" spans="1:11" x14ac:dyDescent="0.3">
      <c r="A16" s="7">
        <v>200</v>
      </c>
      <c r="D16">
        <v>10</v>
      </c>
      <c r="E16">
        <f t="shared" si="2"/>
        <v>671.08</v>
      </c>
      <c r="F16">
        <f t="shared" si="3"/>
        <v>745.7</v>
      </c>
      <c r="G16">
        <f t="shared" si="0"/>
        <v>708.39</v>
      </c>
      <c r="H16">
        <v>2</v>
      </c>
      <c r="I16">
        <f t="shared" si="1"/>
        <v>0.01</v>
      </c>
      <c r="J16">
        <f t="shared" si="4"/>
        <v>165</v>
      </c>
      <c r="K16">
        <f t="shared" si="4"/>
        <v>0.98</v>
      </c>
    </row>
    <row r="17" spans="1:11" x14ac:dyDescent="0.3">
      <c r="A17" s="7">
        <v>30</v>
      </c>
      <c r="D17">
        <v>11</v>
      </c>
      <c r="E17">
        <f t="shared" si="2"/>
        <v>745.7</v>
      </c>
      <c r="F17">
        <f t="shared" si="3"/>
        <v>820.32</v>
      </c>
      <c r="G17">
        <f t="shared" si="0"/>
        <v>783.01</v>
      </c>
      <c r="H17">
        <v>2</v>
      </c>
      <c r="I17">
        <f t="shared" si="1"/>
        <v>0.01</v>
      </c>
      <c r="J17">
        <f t="shared" si="4"/>
        <v>167</v>
      </c>
      <c r="K17">
        <f t="shared" si="4"/>
        <v>0.99</v>
      </c>
    </row>
    <row r="18" spans="1:11" x14ac:dyDescent="0.3">
      <c r="A18" s="7">
        <v>120</v>
      </c>
      <c r="D18">
        <v>12</v>
      </c>
      <c r="E18">
        <f t="shared" si="2"/>
        <v>820.32</v>
      </c>
      <c r="F18">
        <f t="shared" si="3"/>
        <v>894.94</v>
      </c>
      <c r="G18">
        <f t="shared" si="0"/>
        <v>857.63</v>
      </c>
      <c r="H18">
        <v>0</v>
      </c>
      <c r="I18">
        <f t="shared" si="1"/>
        <v>0</v>
      </c>
      <c r="J18">
        <f t="shared" si="4"/>
        <v>167</v>
      </c>
      <c r="K18">
        <f t="shared" si="4"/>
        <v>0.99</v>
      </c>
    </row>
    <row r="19" spans="1:11" x14ac:dyDescent="0.3">
      <c r="A19" s="7">
        <v>100</v>
      </c>
      <c r="D19">
        <v>13</v>
      </c>
      <c r="E19">
        <f t="shared" si="2"/>
        <v>894.94</v>
      </c>
      <c r="F19">
        <f t="shared" si="3"/>
        <v>969.56000000000006</v>
      </c>
      <c r="G19">
        <f t="shared" si="0"/>
        <v>932.25</v>
      </c>
      <c r="H19">
        <v>3</v>
      </c>
      <c r="I19">
        <f t="shared" si="1"/>
        <v>0.02</v>
      </c>
      <c r="J19">
        <f t="shared" si="4"/>
        <v>170</v>
      </c>
      <c r="K19">
        <f t="shared" si="4"/>
        <v>1.01</v>
      </c>
    </row>
    <row r="20" spans="1:11" x14ac:dyDescent="0.3">
      <c r="A20" s="7">
        <v>120</v>
      </c>
      <c r="H20">
        <f>SUM(_xlfn.ANCHORARRAY(H7))</f>
        <v>170</v>
      </c>
      <c r="I20">
        <f>ROUND(SUM(I7:I19),0)</f>
        <v>1</v>
      </c>
    </row>
    <row r="21" spans="1:11" x14ac:dyDescent="0.3">
      <c r="A21" s="7">
        <v>80</v>
      </c>
    </row>
    <row r="22" spans="1:11" x14ac:dyDescent="0.3">
      <c r="A22" s="7">
        <v>120</v>
      </c>
    </row>
    <row r="23" spans="1:11" x14ac:dyDescent="0.3">
      <c r="A23" s="7">
        <v>120</v>
      </c>
    </row>
    <row r="24" spans="1:11" x14ac:dyDescent="0.3">
      <c r="A24" s="7">
        <v>720</v>
      </c>
    </row>
    <row r="25" spans="1:11" x14ac:dyDescent="0.3">
      <c r="A25" s="7">
        <v>120</v>
      </c>
    </row>
    <row r="26" spans="1:11" x14ac:dyDescent="0.3">
      <c r="A26" s="7">
        <v>90</v>
      </c>
    </row>
    <row r="27" spans="1:11" x14ac:dyDescent="0.3">
      <c r="A27" s="7">
        <v>120</v>
      </c>
    </row>
    <row r="28" spans="1:11" x14ac:dyDescent="0.3">
      <c r="A28" s="7">
        <v>0</v>
      </c>
    </row>
    <row r="29" spans="1:11" x14ac:dyDescent="0.3">
      <c r="A29" s="7">
        <v>180</v>
      </c>
    </row>
    <row r="30" spans="1:11" x14ac:dyDescent="0.3">
      <c r="A30" s="7">
        <v>90</v>
      </c>
    </row>
    <row r="31" spans="1:11" x14ac:dyDescent="0.3">
      <c r="A31" s="7">
        <v>40</v>
      </c>
    </row>
    <row r="32" spans="1:11" x14ac:dyDescent="0.3">
      <c r="A32" s="7">
        <v>45</v>
      </c>
    </row>
    <row r="33" spans="1:1" x14ac:dyDescent="0.3">
      <c r="A33" s="7">
        <v>45</v>
      </c>
    </row>
    <row r="34" spans="1:1" x14ac:dyDescent="0.3">
      <c r="A34" s="7">
        <v>40</v>
      </c>
    </row>
    <row r="35" spans="1:1" x14ac:dyDescent="0.3">
      <c r="A35" s="7">
        <v>180</v>
      </c>
    </row>
    <row r="36" spans="1:1" x14ac:dyDescent="0.3">
      <c r="A36" s="7">
        <v>90</v>
      </c>
    </row>
    <row r="37" spans="1:1" x14ac:dyDescent="0.3">
      <c r="A37" s="7">
        <v>120</v>
      </c>
    </row>
    <row r="38" spans="1:1" x14ac:dyDescent="0.3">
      <c r="A38" s="7">
        <v>60</v>
      </c>
    </row>
    <row r="39" spans="1:1" x14ac:dyDescent="0.3">
      <c r="A39" s="7">
        <v>45</v>
      </c>
    </row>
    <row r="40" spans="1:1" x14ac:dyDescent="0.3">
      <c r="A40" s="7">
        <v>120</v>
      </c>
    </row>
    <row r="41" spans="1:1" x14ac:dyDescent="0.3">
      <c r="A41" s="7">
        <v>60</v>
      </c>
    </row>
    <row r="42" spans="1:1" x14ac:dyDescent="0.3">
      <c r="A42" s="7">
        <v>60</v>
      </c>
    </row>
    <row r="43" spans="1:1" x14ac:dyDescent="0.3">
      <c r="A43" s="7">
        <v>300</v>
      </c>
    </row>
    <row r="44" spans="1:1" x14ac:dyDescent="0.3">
      <c r="A44" s="7">
        <v>120</v>
      </c>
    </row>
    <row r="45" spans="1:1" x14ac:dyDescent="0.3">
      <c r="A45" s="7">
        <v>480</v>
      </c>
    </row>
    <row r="46" spans="1:1" x14ac:dyDescent="0.3">
      <c r="A46" s="7">
        <v>320</v>
      </c>
    </row>
    <row r="47" spans="1:1" x14ac:dyDescent="0.3">
      <c r="A47" s="7">
        <v>60</v>
      </c>
    </row>
    <row r="48" spans="1:1" x14ac:dyDescent="0.3">
      <c r="A48" s="7">
        <v>600</v>
      </c>
    </row>
    <row r="49" spans="1:1" x14ac:dyDescent="0.3">
      <c r="A49" s="7">
        <v>120</v>
      </c>
    </row>
    <row r="50" spans="1:1" x14ac:dyDescent="0.3">
      <c r="A50" s="7">
        <v>120</v>
      </c>
    </row>
    <row r="51" spans="1:1" x14ac:dyDescent="0.3">
      <c r="A51" s="7">
        <v>60</v>
      </c>
    </row>
    <row r="52" spans="1:1" x14ac:dyDescent="0.3">
      <c r="A52" s="7">
        <v>30</v>
      </c>
    </row>
    <row r="53" spans="1:1" x14ac:dyDescent="0.3">
      <c r="A53" s="7">
        <v>0</v>
      </c>
    </row>
    <row r="54" spans="1:1" x14ac:dyDescent="0.3">
      <c r="A54" s="7">
        <v>300</v>
      </c>
    </row>
    <row r="55" spans="1:1" x14ac:dyDescent="0.3">
      <c r="A55" s="7">
        <v>400</v>
      </c>
    </row>
    <row r="56" spans="1:1" x14ac:dyDescent="0.3">
      <c r="A56" s="7">
        <v>60</v>
      </c>
    </row>
    <row r="57" spans="1:1" x14ac:dyDescent="0.3">
      <c r="A57" s="7">
        <v>160</v>
      </c>
    </row>
    <row r="58" spans="1:1" x14ac:dyDescent="0.3">
      <c r="A58" s="7">
        <v>180</v>
      </c>
    </row>
    <row r="59" spans="1:1" x14ac:dyDescent="0.3">
      <c r="A59" s="7">
        <v>120</v>
      </c>
    </row>
    <row r="60" spans="1:1" x14ac:dyDescent="0.3">
      <c r="A60" s="7">
        <v>120</v>
      </c>
    </row>
    <row r="61" spans="1:1" x14ac:dyDescent="0.3">
      <c r="A61" s="7">
        <v>150</v>
      </c>
    </row>
    <row r="62" spans="1:1" x14ac:dyDescent="0.3">
      <c r="A62" s="7">
        <v>360</v>
      </c>
    </row>
    <row r="63" spans="1:1" x14ac:dyDescent="0.3">
      <c r="A63" s="7">
        <v>420</v>
      </c>
    </row>
    <row r="64" spans="1:1" x14ac:dyDescent="0.3">
      <c r="A64" s="7">
        <v>360</v>
      </c>
    </row>
    <row r="65" spans="1:1" x14ac:dyDescent="0.3">
      <c r="A65" s="7">
        <v>180</v>
      </c>
    </row>
    <row r="66" spans="1:1" x14ac:dyDescent="0.3">
      <c r="A66" s="7">
        <v>100</v>
      </c>
    </row>
    <row r="67" spans="1:1" x14ac:dyDescent="0.3">
      <c r="A67" s="7">
        <v>300</v>
      </c>
    </row>
    <row r="68" spans="1:1" x14ac:dyDescent="0.3">
      <c r="A68" s="7">
        <v>30</v>
      </c>
    </row>
    <row r="69" spans="1:1" x14ac:dyDescent="0.3">
      <c r="A69" s="7">
        <v>120</v>
      </c>
    </row>
    <row r="70" spans="1:1" x14ac:dyDescent="0.3">
      <c r="A70" s="7">
        <v>80</v>
      </c>
    </row>
    <row r="71" spans="1:1" x14ac:dyDescent="0.3">
      <c r="A71" s="7">
        <v>90</v>
      </c>
    </row>
    <row r="72" spans="1:1" x14ac:dyDescent="0.3">
      <c r="A72" s="7">
        <v>75</v>
      </c>
    </row>
    <row r="73" spans="1:1" x14ac:dyDescent="0.3">
      <c r="A73" s="7">
        <v>120</v>
      </c>
    </row>
    <row r="74" spans="1:1" x14ac:dyDescent="0.3">
      <c r="A74" s="7">
        <v>300</v>
      </c>
    </row>
    <row r="75" spans="1:1" x14ac:dyDescent="0.3">
      <c r="A75" s="7">
        <v>300</v>
      </c>
    </row>
    <row r="76" spans="1:1" x14ac:dyDescent="0.3">
      <c r="A76" s="7">
        <v>90</v>
      </c>
    </row>
    <row r="77" spans="1:1" x14ac:dyDescent="0.3">
      <c r="A77" s="7">
        <v>240</v>
      </c>
    </row>
    <row r="78" spans="1:1" x14ac:dyDescent="0.3">
      <c r="A78" s="7">
        <v>180</v>
      </c>
    </row>
    <row r="79" spans="1:1" x14ac:dyDescent="0.3">
      <c r="A79" s="7">
        <v>60</v>
      </c>
    </row>
    <row r="80" spans="1:1" x14ac:dyDescent="0.3">
      <c r="A80" s="7">
        <v>210</v>
      </c>
    </row>
    <row r="81" spans="1:1" x14ac:dyDescent="0.3">
      <c r="A81" s="7">
        <v>45</v>
      </c>
    </row>
    <row r="82" spans="1:1" x14ac:dyDescent="0.3">
      <c r="A82" s="7">
        <v>180</v>
      </c>
    </row>
    <row r="83" spans="1:1" x14ac:dyDescent="0.3">
      <c r="A83" s="7">
        <v>480</v>
      </c>
    </row>
    <row r="84" spans="1:1" x14ac:dyDescent="0.3">
      <c r="A84" s="7">
        <v>480</v>
      </c>
    </row>
    <row r="85" spans="1:1" x14ac:dyDescent="0.3">
      <c r="A85" s="7">
        <v>120</v>
      </c>
    </row>
    <row r="86" spans="1:1" x14ac:dyDescent="0.3">
      <c r="A86" s="7">
        <v>420</v>
      </c>
    </row>
    <row r="87" spans="1:1" x14ac:dyDescent="0.3">
      <c r="A87" s="7">
        <v>90</v>
      </c>
    </row>
    <row r="88" spans="1:1" x14ac:dyDescent="0.3">
      <c r="A88" s="7">
        <v>90</v>
      </c>
    </row>
    <row r="89" spans="1:1" x14ac:dyDescent="0.3">
      <c r="A89" s="7">
        <v>120</v>
      </c>
    </row>
    <row r="90" spans="1:1" x14ac:dyDescent="0.3">
      <c r="A90" s="7">
        <v>90</v>
      </c>
    </row>
    <row r="91" spans="1:1" x14ac:dyDescent="0.3">
      <c r="A91" s="7">
        <v>480</v>
      </c>
    </row>
    <row r="92" spans="1:1" x14ac:dyDescent="0.3">
      <c r="A92" s="7">
        <v>480</v>
      </c>
    </row>
    <row r="93" spans="1:1" x14ac:dyDescent="0.3">
      <c r="A93" s="7">
        <v>240</v>
      </c>
    </row>
    <row r="94" spans="1:1" x14ac:dyDescent="0.3">
      <c r="A94" s="7">
        <v>300</v>
      </c>
    </row>
    <row r="95" spans="1:1" x14ac:dyDescent="0.3">
      <c r="A95" s="7">
        <v>180</v>
      </c>
    </row>
    <row r="96" spans="1:1" x14ac:dyDescent="0.3">
      <c r="A96" s="7">
        <v>300</v>
      </c>
    </row>
    <row r="97" spans="1:1" x14ac:dyDescent="0.3">
      <c r="A97" s="7">
        <v>120</v>
      </c>
    </row>
    <row r="98" spans="1:1" x14ac:dyDescent="0.3">
      <c r="A98" s="7">
        <v>180</v>
      </c>
    </row>
    <row r="99" spans="1:1" x14ac:dyDescent="0.3">
      <c r="A99" s="7">
        <v>500</v>
      </c>
    </row>
    <row r="100" spans="1:1" x14ac:dyDescent="0.3">
      <c r="A100" s="7">
        <v>120</v>
      </c>
    </row>
    <row r="101" spans="1:1" x14ac:dyDescent="0.3">
      <c r="A101" s="7">
        <v>120</v>
      </c>
    </row>
    <row r="102" spans="1:1" x14ac:dyDescent="0.3">
      <c r="A102" s="7">
        <v>40</v>
      </c>
    </row>
    <row r="103" spans="1:1" x14ac:dyDescent="0.3">
      <c r="A103" s="7">
        <v>30</v>
      </c>
    </row>
    <row r="104" spans="1:1" x14ac:dyDescent="0.3">
      <c r="A104" s="7">
        <v>60</v>
      </c>
    </row>
    <row r="105" spans="1:1" x14ac:dyDescent="0.3">
      <c r="A105" s="7">
        <v>60</v>
      </c>
    </row>
    <row r="106" spans="1:1" x14ac:dyDescent="0.3">
      <c r="A106" s="7">
        <v>60</v>
      </c>
    </row>
    <row r="107" spans="1:1" x14ac:dyDescent="0.3">
      <c r="A107" s="7">
        <v>60</v>
      </c>
    </row>
    <row r="108" spans="1:1" x14ac:dyDescent="0.3">
      <c r="A108" s="7">
        <v>30</v>
      </c>
    </row>
    <row r="109" spans="1:1" x14ac:dyDescent="0.3">
      <c r="A109" s="7">
        <v>30</v>
      </c>
    </row>
    <row r="110" spans="1:1" x14ac:dyDescent="0.3">
      <c r="A110" s="7">
        <v>120</v>
      </c>
    </row>
    <row r="111" spans="1:1" x14ac:dyDescent="0.3">
      <c r="A111" s="7">
        <v>60</v>
      </c>
    </row>
    <row r="112" spans="1:1" x14ac:dyDescent="0.3">
      <c r="A112" s="7">
        <v>120</v>
      </c>
    </row>
    <row r="113" spans="1:1" x14ac:dyDescent="0.3">
      <c r="A113" s="7">
        <v>60</v>
      </c>
    </row>
    <row r="114" spans="1:1" x14ac:dyDescent="0.3">
      <c r="A114" s="7">
        <v>120</v>
      </c>
    </row>
    <row r="115" spans="1:1" x14ac:dyDescent="0.3">
      <c r="A115" s="7">
        <v>60</v>
      </c>
    </row>
    <row r="116" spans="1:1" x14ac:dyDescent="0.3">
      <c r="A116" s="7">
        <v>60</v>
      </c>
    </row>
    <row r="117" spans="1:1" x14ac:dyDescent="0.3">
      <c r="A117" s="7">
        <v>45</v>
      </c>
    </row>
    <row r="118" spans="1:1" x14ac:dyDescent="0.3">
      <c r="A118" s="7">
        <v>20</v>
      </c>
    </row>
    <row r="119" spans="1:1" x14ac:dyDescent="0.3">
      <c r="A119" s="7">
        <v>60</v>
      </c>
    </row>
    <row r="120" spans="1:1" x14ac:dyDescent="0.3">
      <c r="A120" s="7">
        <v>420</v>
      </c>
    </row>
    <row r="121" spans="1:1" x14ac:dyDescent="0.3">
      <c r="A121" s="7">
        <v>300</v>
      </c>
    </row>
    <row r="122" spans="1:1" x14ac:dyDescent="0.3">
      <c r="A122" s="7">
        <v>30</v>
      </c>
    </row>
    <row r="123" spans="1:1" x14ac:dyDescent="0.3">
      <c r="A123" s="7">
        <v>360</v>
      </c>
    </row>
    <row r="124" spans="1:1" x14ac:dyDescent="0.3">
      <c r="A124" s="7">
        <v>120</v>
      </c>
    </row>
    <row r="125" spans="1:1" x14ac:dyDescent="0.3">
      <c r="A125" s="7">
        <v>240</v>
      </c>
    </row>
    <row r="126" spans="1:1" x14ac:dyDescent="0.3">
      <c r="A126" s="7">
        <v>120</v>
      </c>
    </row>
    <row r="127" spans="1:1" x14ac:dyDescent="0.3">
      <c r="A127" s="7">
        <v>90</v>
      </c>
    </row>
    <row r="128" spans="1:1" x14ac:dyDescent="0.3">
      <c r="A128" s="7">
        <v>40</v>
      </c>
    </row>
    <row r="129" spans="1:1" x14ac:dyDescent="0.3">
      <c r="A129" s="7">
        <v>60</v>
      </c>
    </row>
    <row r="130" spans="1:1" x14ac:dyDescent="0.3">
      <c r="A130" s="7">
        <v>120</v>
      </c>
    </row>
    <row r="131" spans="1:1" x14ac:dyDescent="0.3">
      <c r="A131" s="7">
        <v>120</v>
      </c>
    </row>
    <row r="132" spans="1:1" x14ac:dyDescent="0.3">
      <c r="A132" s="7">
        <v>90</v>
      </c>
    </row>
    <row r="133" spans="1:1" x14ac:dyDescent="0.3">
      <c r="A133" s="7">
        <v>60</v>
      </c>
    </row>
    <row r="134" spans="1:1" x14ac:dyDescent="0.3">
      <c r="A134" s="7">
        <v>60</v>
      </c>
    </row>
    <row r="135" spans="1:1" x14ac:dyDescent="0.3">
      <c r="A135" s="7">
        <v>100</v>
      </c>
    </row>
    <row r="136" spans="1:1" x14ac:dyDescent="0.3">
      <c r="A136" s="7">
        <v>90</v>
      </c>
    </row>
    <row r="137" spans="1:1" x14ac:dyDescent="0.3">
      <c r="A137" s="7">
        <v>30</v>
      </c>
    </row>
    <row r="138" spans="1:1" x14ac:dyDescent="0.3">
      <c r="A138" s="7">
        <v>120</v>
      </c>
    </row>
    <row r="139" spans="1:1" x14ac:dyDescent="0.3">
      <c r="A139" s="7">
        <v>60</v>
      </c>
    </row>
    <row r="140" spans="1:1" x14ac:dyDescent="0.3">
      <c r="A140" s="7">
        <v>90</v>
      </c>
    </row>
    <row r="141" spans="1:1" x14ac:dyDescent="0.3">
      <c r="A141" s="7">
        <v>90</v>
      </c>
    </row>
    <row r="142" spans="1:1" x14ac:dyDescent="0.3">
      <c r="A142" s="7">
        <v>120</v>
      </c>
    </row>
    <row r="143" spans="1:1" x14ac:dyDescent="0.3">
      <c r="A143" s="7">
        <v>120</v>
      </c>
    </row>
    <row r="144" spans="1:1" x14ac:dyDescent="0.3">
      <c r="A144" s="7">
        <v>180</v>
      </c>
    </row>
    <row r="145" spans="1:1" x14ac:dyDescent="0.3">
      <c r="A145" s="7">
        <v>90</v>
      </c>
    </row>
    <row r="146" spans="1:1" x14ac:dyDescent="0.3">
      <c r="A146" s="7">
        <v>120</v>
      </c>
    </row>
    <row r="147" spans="1:1" x14ac:dyDescent="0.3">
      <c r="A147" s="7">
        <v>120</v>
      </c>
    </row>
    <row r="148" spans="1:1" x14ac:dyDescent="0.3">
      <c r="A148" s="7">
        <v>120</v>
      </c>
    </row>
    <row r="149" spans="1:1" x14ac:dyDescent="0.3">
      <c r="A149" s="7">
        <v>90</v>
      </c>
    </row>
    <row r="150" spans="1:1" x14ac:dyDescent="0.3">
      <c r="A150" s="7">
        <v>45</v>
      </c>
    </row>
    <row r="151" spans="1:1" x14ac:dyDescent="0.3">
      <c r="A151" s="7">
        <v>900</v>
      </c>
    </row>
    <row r="152" spans="1:1" x14ac:dyDescent="0.3">
      <c r="A152" s="7">
        <v>800</v>
      </c>
    </row>
    <row r="153" spans="1:1" x14ac:dyDescent="0.3">
      <c r="A153" s="7">
        <v>750</v>
      </c>
    </row>
    <row r="154" spans="1:1" x14ac:dyDescent="0.3">
      <c r="A154" s="7">
        <v>900</v>
      </c>
    </row>
    <row r="155" spans="1:1" x14ac:dyDescent="0.3">
      <c r="A155" s="7">
        <v>970</v>
      </c>
    </row>
    <row r="156" spans="1:1" x14ac:dyDescent="0.3">
      <c r="A156" s="7">
        <v>420</v>
      </c>
    </row>
    <row r="157" spans="1:1" x14ac:dyDescent="0.3">
      <c r="A157" s="7">
        <v>180</v>
      </c>
    </row>
    <row r="158" spans="1:1" x14ac:dyDescent="0.3">
      <c r="A158" s="7">
        <v>60</v>
      </c>
    </row>
    <row r="159" spans="1:1" x14ac:dyDescent="0.3">
      <c r="A159" s="7">
        <v>120</v>
      </c>
    </row>
    <row r="160" spans="1:1" x14ac:dyDescent="0.3">
      <c r="A160" s="7">
        <v>360</v>
      </c>
    </row>
    <row r="161" spans="1:1" x14ac:dyDescent="0.3">
      <c r="A161" s="7">
        <v>180</v>
      </c>
    </row>
    <row r="162" spans="1:1" x14ac:dyDescent="0.3">
      <c r="A162" s="7">
        <v>700</v>
      </c>
    </row>
    <row r="163" spans="1:1" x14ac:dyDescent="0.3">
      <c r="A163" s="7">
        <v>240</v>
      </c>
    </row>
    <row r="164" spans="1:1" x14ac:dyDescent="0.3">
      <c r="A164" s="7">
        <v>60</v>
      </c>
    </row>
    <row r="165" spans="1:1" x14ac:dyDescent="0.3">
      <c r="A165" s="7">
        <v>60</v>
      </c>
    </row>
    <row r="166" spans="1:1" x14ac:dyDescent="0.3">
      <c r="A166" s="7">
        <v>120</v>
      </c>
    </row>
    <row r="167" spans="1:1" x14ac:dyDescent="0.3">
      <c r="A167" s="7">
        <v>60</v>
      </c>
    </row>
    <row r="168" spans="1:1" x14ac:dyDescent="0.3">
      <c r="A168" s="7">
        <v>180</v>
      </c>
    </row>
    <row r="169" spans="1:1" x14ac:dyDescent="0.3">
      <c r="A169" s="7">
        <v>50</v>
      </c>
    </row>
    <row r="170" spans="1:1" x14ac:dyDescent="0.3">
      <c r="A170" s="7">
        <v>15</v>
      </c>
    </row>
    <row r="171" spans="1:1" x14ac:dyDescent="0.3">
      <c r="A171" s="7">
        <v>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 Vngs</dc:creator>
  <cp:lastModifiedBy>Luu Vngs</cp:lastModifiedBy>
  <dcterms:created xsi:type="dcterms:W3CDTF">2026-02-25T20:01:57Z</dcterms:created>
  <dcterms:modified xsi:type="dcterms:W3CDTF">2026-02-25T22:07:44Z</dcterms:modified>
</cp:coreProperties>
</file>